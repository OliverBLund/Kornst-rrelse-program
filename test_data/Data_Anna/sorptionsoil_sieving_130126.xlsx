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wsponline-my.sharepoint.com/personal/anna_nielsen_wsp_com/Documents/PhD/05 Laboratorie/02 Jordprøver/01 Clay measurements/"/>
    </mc:Choice>
  </mc:AlternateContent>
  <xr:revisionPtr revIDLastSave="333" documentId="8_{7F3E39F6-76CF-417F-8662-E789E62C2A4C}" xr6:coauthVersionLast="47" xr6:coauthVersionMax="47" xr10:uidLastSave="{B34728A1-F40B-4326-9F92-EC2EFAD6F2D6}"/>
  <bookViews>
    <workbookView xWindow="-105" yWindow="0" windowWidth="14610" windowHeight="15585" activeTab="2" xr2:uid="{DBB09911-16D6-4697-9313-AEBD2BE1D35E}"/>
  </bookViews>
  <sheets>
    <sheet name="English" sheetId="1" r:id="rId1"/>
    <sheet name="Danish" sheetId="4" r:id="rId2"/>
    <sheet name="101" sheetId="5" r:id="rId3"/>
    <sheet name="33" sheetId="6" r:id="rId4"/>
    <sheet name="54" sheetId="8" r:id="rId5"/>
    <sheet name="100" sheetId="9" r:id="rId6"/>
  </sheets>
  <definedNames>
    <definedName name="_xlnm.Print_Area" localSheetId="5">'100'!$A$1:$H$53</definedName>
    <definedName name="_xlnm.Print_Area" localSheetId="2">'101'!$A$1:$H$53</definedName>
    <definedName name="_xlnm.Print_Area" localSheetId="3">'33'!$A$1:$H$53</definedName>
    <definedName name="_xlnm.Print_Area" localSheetId="4">'54'!$A$1:$H$53</definedName>
    <definedName name="_xlnm.Print_Area" localSheetId="0">English!$A$1:$H$53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5" l="1"/>
  <c r="J15" i="5"/>
  <c r="J14" i="5"/>
  <c r="J16" i="5" s="1"/>
  <c r="J18" i="5" s="1"/>
  <c r="J17" i="9"/>
  <c r="J15" i="9"/>
  <c r="J14" i="9"/>
  <c r="J16" i="9" s="1"/>
  <c r="J18" i="9" s="1"/>
  <c r="J15" i="8"/>
  <c r="J16" i="8"/>
  <c r="J17" i="8"/>
  <c r="J14" i="8"/>
  <c r="J14" i="6"/>
  <c r="J16" i="6" s="1"/>
  <c r="D21" i="6" s="1"/>
  <c r="J15" i="6"/>
  <c r="J18" i="8" l="1"/>
  <c r="D21" i="9" l="1"/>
  <c r="D21" i="8"/>
  <c r="D21" i="5"/>
  <c r="D72" i="5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58" i="5"/>
  <c r="D77" i="9"/>
  <c r="D78" i="9" s="1"/>
  <c r="D79" i="9" s="1"/>
  <c r="D80" i="9" s="1"/>
  <c r="D81" i="9" s="1"/>
  <c r="D82" i="9" s="1"/>
  <c r="D83" i="9" s="1"/>
  <c r="D84" i="9" s="1"/>
  <c r="D85" i="9" s="1"/>
  <c r="D86" i="9" s="1"/>
  <c r="D87" i="9" s="1"/>
  <c r="D88" i="9" s="1"/>
  <c r="D89" i="9" s="1"/>
  <c r="D90" i="9" s="1"/>
  <c r="D91" i="9" s="1"/>
  <c r="D92" i="9" s="1"/>
  <c r="D93" i="9" s="1"/>
  <c r="D94" i="9" s="1"/>
  <c r="D95" i="9" s="1"/>
  <c r="D96" i="9" s="1"/>
  <c r="D97" i="9" s="1"/>
  <c r="D98" i="9" s="1"/>
  <c r="D99" i="9" s="1"/>
  <c r="D100" i="9" s="1"/>
  <c r="D101" i="9" s="1"/>
  <c r="D102" i="9" s="1"/>
  <c r="D103" i="9" s="1"/>
  <c r="D104" i="9" s="1"/>
  <c r="D105" i="9" s="1"/>
  <c r="D106" i="9" s="1"/>
  <c r="D107" i="9" s="1"/>
  <c r="D108" i="9" s="1"/>
  <c r="D109" i="9" s="1"/>
  <c r="D110" i="9" s="1"/>
  <c r="D111" i="9" s="1"/>
  <c r="D112" i="9" s="1"/>
  <c r="D113" i="9" s="1"/>
  <c r="D114" i="9" s="1"/>
  <c r="D115" i="9" s="1"/>
  <c r="D116" i="9" s="1"/>
  <c r="D117" i="9" s="1"/>
  <c r="D118" i="9" s="1"/>
  <c r="D119" i="9" s="1"/>
  <c r="D120" i="9" s="1"/>
  <c r="D121" i="9" s="1"/>
  <c r="D122" i="9" s="1"/>
  <c r="D123" i="9" s="1"/>
  <c r="D124" i="9" s="1"/>
  <c r="D125" i="9" s="1"/>
  <c r="D126" i="9" s="1"/>
  <c r="D127" i="9" s="1"/>
  <c r="D128" i="9" s="1"/>
  <c r="D129" i="9" s="1"/>
  <c r="D130" i="9" s="1"/>
  <c r="D131" i="9" s="1"/>
  <c r="D132" i="9" s="1"/>
  <c r="D133" i="9" s="1"/>
  <c r="D134" i="9" s="1"/>
  <c r="D135" i="9" s="1"/>
  <c r="D136" i="9" s="1"/>
  <c r="D137" i="9" s="1"/>
  <c r="D75" i="9"/>
  <c r="D76" i="9" s="1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58" i="9"/>
  <c r="D77" i="8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75" i="8"/>
  <c r="D76" i="8" s="1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58" i="8"/>
  <c r="D78" i="6"/>
  <c r="D79" i="6" s="1"/>
  <c r="D80" i="6" s="1"/>
  <c r="D81" i="6" s="1"/>
  <c r="D82" i="6" s="1"/>
  <c r="D83" i="6" s="1"/>
  <c r="D84" i="6" s="1"/>
  <c r="D85" i="6" s="1"/>
  <c r="D86" i="6" s="1"/>
  <c r="D87" i="6" s="1"/>
  <c r="D88" i="6" s="1"/>
  <c r="D89" i="6" s="1"/>
  <c r="D90" i="6" s="1"/>
  <c r="D91" i="6" s="1"/>
  <c r="D92" i="6" s="1"/>
  <c r="D93" i="6" s="1"/>
  <c r="D94" i="6" s="1"/>
  <c r="D95" i="6" s="1"/>
  <c r="D96" i="6" s="1"/>
  <c r="D97" i="6" s="1"/>
  <c r="D98" i="6" s="1"/>
  <c r="D99" i="6" s="1"/>
  <c r="D100" i="6" s="1"/>
  <c r="D101" i="6" s="1"/>
  <c r="D102" i="6" s="1"/>
  <c r="D103" i="6" s="1"/>
  <c r="D104" i="6" s="1"/>
  <c r="D105" i="6" s="1"/>
  <c r="D106" i="6" s="1"/>
  <c r="D107" i="6" s="1"/>
  <c r="D108" i="6" s="1"/>
  <c r="D109" i="6" s="1"/>
  <c r="D110" i="6" s="1"/>
  <c r="D111" i="6" s="1"/>
  <c r="D112" i="6" s="1"/>
  <c r="D113" i="6" s="1"/>
  <c r="D114" i="6" s="1"/>
  <c r="D115" i="6" s="1"/>
  <c r="D116" i="6" s="1"/>
  <c r="D117" i="6" s="1"/>
  <c r="D118" i="6" s="1"/>
  <c r="D119" i="6" s="1"/>
  <c r="D120" i="6" s="1"/>
  <c r="D121" i="6" s="1"/>
  <c r="D122" i="6" s="1"/>
  <c r="D123" i="6" s="1"/>
  <c r="D124" i="6" s="1"/>
  <c r="D125" i="6" s="1"/>
  <c r="D126" i="6" s="1"/>
  <c r="D127" i="6" s="1"/>
  <c r="D128" i="6" s="1"/>
  <c r="D129" i="6" s="1"/>
  <c r="D130" i="6" s="1"/>
  <c r="D131" i="6" s="1"/>
  <c r="D132" i="6" s="1"/>
  <c r="D133" i="6" s="1"/>
  <c r="D134" i="6" s="1"/>
  <c r="D135" i="6" s="1"/>
  <c r="D136" i="6" s="1"/>
  <c r="D77" i="6"/>
  <c r="D76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57" i="6"/>
  <c r="E51" i="9" l="1"/>
  <c r="E50" i="9"/>
  <c r="D20" i="9"/>
  <c r="D19" i="9"/>
  <c r="D18" i="9"/>
  <c r="D17" i="9"/>
  <c r="D16" i="9"/>
  <c r="D15" i="9"/>
  <c r="D14" i="9"/>
  <c r="D13" i="9"/>
  <c r="D12" i="9"/>
  <c r="D11" i="9"/>
  <c r="D10" i="9"/>
  <c r="C5" i="9"/>
  <c r="E51" i="8"/>
  <c r="E50" i="8"/>
  <c r="D20" i="8"/>
  <c r="D19" i="8"/>
  <c r="D18" i="8"/>
  <c r="D17" i="8"/>
  <c r="D16" i="8"/>
  <c r="D15" i="8"/>
  <c r="D14" i="8"/>
  <c r="D13" i="8"/>
  <c r="D12" i="8"/>
  <c r="D11" i="8"/>
  <c r="D10" i="8"/>
  <c r="C5" i="8"/>
  <c r="E51" i="6"/>
  <c r="E50" i="6"/>
  <c r="D20" i="6"/>
  <c r="D19" i="6"/>
  <c r="D18" i="6"/>
  <c r="J17" i="6"/>
  <c r="D17" i="6"/>
  <c r="D16" i="6"/>
  <c r="D15" i="6"/>
  <c r="D14" i="6"/>
  <c r="D13" i="6"/>
  <c r="D12" i="6"/>
  <c r="D11" i="6"/>
  <c r="D10" i="6"/>
  <c r="C5" i="6"/>
  <c r="C5" i="5"/>
  <c r="E51" i="5"/>
  <c r="E50" i="5"/>
  <c r="D20" i="5"/>
  <c r="D19" i="5"/>
  <c r="D18" i="5"/>
  <c r="D17" i="5"/>
  <c r="D16" i="5"/>
  <c r="D15" i="5"/>
  <c r="D14" i="5"/>
  <c r="D13" i="5"/>
  <c r="D12" i="5"/>
  <c r="D11" i="5"/>
  <c r="D10" i="5"/>
  <c r="D22" i="5" s="1"/>
  <c r="L17" i="1"/>
  <c r="L14" i="1"/>
  <c r="L16" i="1"/>
  <c r="L18" i="1"/>
  <c r="E51" i="4"/>
  <c r="E50" i="4"/>
  <c r="D10" i="4"/>
  <c r="D11" i="4"/>
  <c r="D22" i="4"/>
  <c r="D12" i="4"/>
  <c r="D13" i="4"/>
  <c r="D14" i="4"/>
  <c r="D15" i="4"/>
  <c r="D16" i="4"/>
  <c r="D17" i="4"/>
  <c r="D18" i="4"/>
  <c r="D19" i="4"/>
  <c r="D20" i="4"/>
  <c r="D21" i="4"/>
  <c r="D21" i="1"/>
  <c r="D20" i="1"/>
  <c r="D19" i="1"/>
  <c r="D18" i="1"/>
  <c r="D17" i="1"/>
  <c r="D16" i="1"/>
  <c r="D15" i="1"/>
  <c r="D14" i="1"/>
  <c r="D13" i="1"/>
  <c r="D12" i="1"/>
  <c r="D11" i="1"/>
  <c r="D22" i="1"/>
  <c r="D10" i="1"/>
  <c r="E50" i="1"/>
  <c r="E51" i="1"/>
  <c r="E18" i="4"/>
  <c r="E10" i="4"/>
  <c r="E14" i="4"/>
  <c r="E22" i="4"/>
  <c r="B6" i="4"/>
  <c r="E19" i="4"/>
  <c r="E9" i="4"/>
  <c r="E21" i="4"/>
  <c r="G21" i="4"/>
  <c r="G20" i="4"/>
  <c r="G19" i="4"/>
  <c r="G18" i="4"/>
  <c r="G17" i="4"/>
  <c r="G16" i="4"/>
  <c r="G15" i="4"/>
  <c r="G14" i="4"/>
  <c r="G13" i="4"/>
  <c r="G12" i="4"/>
  <c r="G11" i="4"/>
  <c r="G10" i="4"/>
  <c r="E17" i="4"/>
  <c r="E13" i="4"/>
  <c r="E19" i="1"/>
  <c r="E16" i="4"/>
  <c r="E20" i="1"/>
  <c r="E15" i="4"/>
  <c r="E13" i="1"/>
  <c r="E14" i="1"/>
  <c r="E9" i="1"/>
  <c r="B6" i="1"/>
  <c r="E16" i="1"/>
  <c r="E18" i="1"/>
  <c r="E21" i="1"/>
  <c r="G21" i="1"/>
  <c r="G20" i="1"/>
  <c r="G19" i="1"/>
  <c r="G18" i="1"/>
  <c r="E10" i="1"/>
  <c r="E22" i="1"/>
  <c r="E17" i="1"/>
  <c r="E12" i="1"/>
  <c r="E15" i="1"/>
  <c r="E20" i="4"/>
  <c r="E12" i="4"/>
  <c r="E11" i="1"/>
  <c r="E11" i="4"/>
  <c r="G17" i="1"/>
  <c r="G16" i="1"/>
  <c r="G15" i="1"/>
  <c r="G14" i="1"/>
  <c r="G13" i="1"/>
  <c r="G12" i="1"/>
  <c r="G11" i="1"/>
  <c r="G10" i="1"/>
  <c r="J18" i="6" l="1"/>
  <c r="E17" i="5"/>
  <c r="B6" i="5"/>
  <c r="E15" i="5"/>
  <c r="E16" i="5"/>
  <c r="E13" i="5"/>
  <c r="E22" i="5"/>
  <c r="E11" i="5"/>
  <c r="E12" i="5"/>
  <c r="E10" i="5"/>
  <c r="E14" i="5"/>
  <c r="E9" i="5"/>
  <c r="E21" i="5"/>
  <c r="E20" i="5"/>
  <c r="E19" i="5"/>
  <c r="E18" i="5"/>
  <c r="D22" i="9"/>
  <c r="E16" i="9" s="1"/>
  <c r="E11" i="9"/>
  <c r="E12" i="9"/>
  <c r="E13" i="9"/>
  <c r="E14" i="9"/>
  <c r="E15" i="9"/>
  <c r="E17" i="9"/>
  <c r="E19" i="9"/>
  <c r="E20" i="9"/>
  <c r="E21" i="9"/>
  <c r="D22" i="8"/>
  <c r="E13" i="8" s="1"/>
  <c r="D22" i="6"/>
  <c r="E15" i="6" s="1"/>
  <c r="E18" i="9" l="1"/>
  <c r="E10" i="9"/>
  <c r="E12" i="8"/>
  <c r="E13" i="6"/>
  <c r="E18" i="6"/>
  <c r="E21" i="6"/>
  <c r="E120" i="6" s="1"/>
  <c r="E19" i="6"/>
  <c r="E14" i="6"/>
  <c r="E12" i="6"/>
  <c r="E11" i="6"/>
  <c r="E20" i="6"/>
  <c r="G21" i="9"/>
  <c r="G20" i="9" s="1"/>
  <c r="G19" i="9" s="1"/>
  <c r="G18" i="9" s="1"/>
  <c r="G17" i="9" s="1"/>
  <c r="G16" i="9" s="1"/>
  <c r="G15" i="9" s="1"/>
  <c r="G14" i="9" s="1"/>
  <c r="G13" i="9" s="1"/>
  <c r="G12" i="9" s="1"/>
  <c r="G11" i="9" s="1"/>
  <c r="G10" i="9" s="1"/>
  <c r="E79" i="9"/>
  <c r="E87" i="9"/>
  <c r="E95" i="9"/>
  <c r="E103" i="9"/>
  <c r="E111" i="9"/>
  <c r="E119" i="9"/>
  <c r="E127" i="9"/>
  <c r="E135" i="9"/>
  <c r="E78" i="9"/>
  <c r="E126" i="9"/>
  <c r="E80" i="9"/>
  <c r="E88" i="9"/>
  <c r="E96" i="9"/>
  <c r="E104" i="9"/>
  <c r="E112" i="9"/>
  <c r="E120" i="9"/>
  <c r="E128" i="9"/>
  <c r="E136" i="9"/>
  <c r="E94" i="9"/>
  <c r="E81" i="9"/>
  <c r="E89" i="9"/>
  <c r="E97" i="9"/>
  <c r="E105" i="9"/>
  <c r="E113" i="9"/>
  <c r="E121" i="9"/>
  <c r="E129" i="9"/>
  <c r="E137" i="9"/>
  <c r="E102" i="9"/>
  <c r="E82" i="9"/>
  <c r="E90" i="9"/>
  <c r="E98" i="9"/>
  <c r="E106" i="9"/>
  <c r="E114" i="9"/>
  <c r="E122" i="9"/>
  <c r="E130" i="9"/>
  <c r="E83" i="9"/>
  <c r="E91" i="9"/>
  <c r="E99" i="9"/>
  <c r="E107" i="9"/>
  <c r="E115" i="9"/>
  <c r="E123" i="9"/>
  <c r="E131" i="9"/>
  <c r="E75" i="9"/>
  <c r="E86" i="9"/>
  <c r="E134" i="9"/>
  <c r="E76" i="9"/>
  <c r="E84" i="9"/>
  <c r="E92" i="9"/>
  <c r="E100" i="9"/>
  <c r="E108" i="9"/>
  <c r="E116" i="9"/>
  <c r="E124" i="9"/>
  <c r="E132" i="9"/>
  <c r="E110" i="9"/>
  <c r="E77" i="9"/>
  <c r="E85" i="9"/>
  <c r="E93" i="9"/>
  <c r="E101" i="9"/>
  <c r="E109" i="9"/>
  <c r="E117" i="9"/>
  <c r="E125" i="9"/>
  <c r="E133" i="9"/>
  <c r="E118" i="9"/>
  <c r="E20" i="8"/>
  <c r="E19" i="8"/>
  <c r="E18" i="8"/>
  <c r="E10" i="8"/>
  <c r="E11" i="8"/>
  <c r="E17" i="8"/>
  <c r="E16" i="8"/>
  <c r="E15" i="8"/>
  <c r="E14" i="8"/>
  <c r="E21" i="8"/>
  <c r="G21" i="6"/>
  <c r="E114" i="6"/>
  <c r="E130" i="6"/>
  <c r="E80" i="6"/>
  <c r="E115" i="6"/>
  <c r="E95" i="6"/>
  <c r="E108" i="6"/>
  <c r="E132" i="6"/>
  <c r="E79" i="6"/>
  <c r="E103" i="6"/>
  <c r="E128" i="6"/>
  <c r="E101" i="6"/>
  <c r="E87" i="6"/>
  <c r="E136" i="6"/>
  <c r="E78" i="6"/>
  <c r="E86" i="6"/>
  <c r="E110" i="6"/>
  <c r="E118" i="6"/>
  <c r="E134" i="6"/>
  <c r="E112" i="6"/>
  <c r="E97" i="6"/>
  <c r="E105" i="6"/>
  <c r="E121" i="6"/>
  <c r="E129" i="6"/>
  <c r="E77" i="6"/>
  <c r="E122" i="6"/>
  <c r="E104" i="6"/>
  <c r="E76" i="6"/>
  <c r="E10" i="6"/>
  <c r="E17" i="6"/>
  <c r="E16" i="6"/>
  <c r="E80" i="5"/>
  <c r="E88" i="5"/>
  <c r="E96" i="5"/>
  <c r="E104" i="5"/>
  <c r="E112" i="5"/>
  <c r="E120" i="5"/>
  <c r="E128" i="5"/>
  <c r="E136" i="5"/>
  <c r="E85" i="5"/>
  <c r="E117" i="5"/>
  <c r="E133" i="5"/>
  <c r="E86" i="5"/>
  <c r="E110" i="5"/>
  <c r="E126" i="5"/>
  <c r="E72" i="5"/>
  <c r="E79" i="5"/>
  <c r="E127" i="5"/>
  <c r="E73" i="5"/>
  <c r="E81" i="5"/>
  <c r="E89" i="5"/>
  <c r="E97" i="5"/>
  <c r="E105" i="5"/>
  <c r="E113" i="5"/>
  <c r="E121" i="5"/>
  <c r="E129" i="5"/>
  <c r="E137" i="5"/>
  <c r="E109" i="5"/>
  <c r="E95" i="5"/>
  <c r="E74" i="5"/>
  <c r="E82" i="5"/>
  <c r="E90" i="5"/>
  <c r="E98" i="5"/>
  <c r="E106" i="5"/>
  <c r="E114" i="5"/>
  <c r="E122" i="5"/>
  <c r="E130" i="5"/>
  <c r="E101" i="5"/>
  <c r="E94" i="5"/>
  <c r="E111" i="5"/>
  <c r="E75" i="5"/>
  <c r="E83" i="5"/>
  <c r="E91" i="5"/>
  <c r="E99" i="5"/>
  <c r="E107" i="5"/>
  <c r="E115" i="5"/>
  <c r="E123" i="5"/>
  <c r="E131" i="5"/>
  <c r="E93" i="5"/>
  <c r="E102" i="5"/>
  <c r="E87" i="5"/>
  <c r="E135" i="5"/>
  <c r="E76" i="5"/>
  <c r="E84" i="5"/>
  <c r="E92" i="5"/>
  <c r="E100" i="5"/>
  <c r="E108" i="5"/>
  <c r="E116" i="5"/>
  <c r="E124" i="5"/>
  <c r="E132" i="5"/>
  <c r="E77" i="5"/>
  <c r="E125" i="5"/>
  <c r="E78" i="5"/>
  <c r="E118" i="5"/>
  <c r="E134" i="5"/>
  <c r="E103" i="5"/>
  <c r="E119" i="5"/>
  <c r="G21" i="5"/>
  <c r="G20" i="5" s="1"/>
  <c r="G19" i="5" s="1"/>
  <c r="G18" i="5" s="1"/>
  <c r="G17" i="5" s="1"/>
  <c r="G16" i="5" s="1"/>
  <c r="G15" i="5" s="1"/>
  <c r="G14" i="5" s="1"/>
  <c r="G13" i="5" s="1"/>
  <c r="G12" i="5" s="1"/>
  <c r="G11" i="5" s="1"/>
  <c r="G10" i="5" s="1"/>
  <c r="E22" i="9"/>
  <c r="E9" i="9"/>
  <c r="B6" i="9"/>
  <c r="E22" i="8"/>
  <c r="E9" i="8"/>
  <c r="B6" i="8"/>
  <c r="E22" i="6"/>
  <c r="E9" i="6"/>
  <c r="B6" i="6"/>
  <c r="E111" i="6" l="1"/>
  <c r="E117" i="6"/>
  <c r="E84" i="6"/>
  <c r="E109" i="6"/>
  <c r="E135" i="6"/>
  <c r="E113" i="6"/>
  <c r="E126" i="6"/>
  <c r="E96" i="6"/>
  <c r="E93" i="6"/>
  <c r="E124" i="6"/>
  <c r="E131" i="6"/>
  <c r="E98" i="6"/>
  <c r="E119" i="6"/>
  <c r="E85" i="6"/>
  <c r="E116" i="6"/>
  <c r="E123" i="6"/>
  <c r="E82" i="6"/>
  <c r="E106" i="6"/>
  <c r="E89" i="6"/>
  <c r="E102" i="6"/>
  <c r="E133" i="6"/>
  <c r="E88" i="6"/>
  <c r="E100" i="6"/>
  <c r="E107" i="6"/>
  <c r="E90" i="6"/>
  <c r="E81" i="6"/>
  <c r="E94" i="6"/>
  <c r="E125" i="6"/>
  <c r="E127" i="6"/>
  <c r="E92" i="6"/>
  <c r="E99" i="6"/>
  <c r="E91" i="6"/>
  <c r="E83" i="6"/>
  <c r="G20" i="6"/>
  <c r="G19" i="6" s="1"/>
  <c r="G18" i="6" s="1"/>
  <c r="G17" i="6" s="1"/>
  <c r="G21" i="8"/>
  <c r="G20" i="8" s="1"/>
  <c r="G19" i="8" s="1"/>
  <c r="G18" i="8" s="1"/>
  <c r="G17" i="8" s="1"/>
  <c r="G16" i="8" s="1"/>
  <c r="G15" i="8" s="1"/>
  <c r="G14" i="8" s="1"/>
  <c r="G13" i="8" s="1"/>
  <c r="G12" i="8" s="1"/>
  <c r="G11" i="8" s="1"/>
  <c r="G10" i="8" s="1"/>
  <c r="E79" i="8"/>
  <c r="E87" i="8"/>
  <c r="E95" i="8"/>
  <c r="E103" i="8"/>
  <c r="E111" i="8"/>
  <c r="E119" i="8"/>
  <c r="E127" i="8"/>
  <c r="E135" i="8"/>
  <c r="E80" i="8"/>
  <c r="E88" i="8"/>
  <c r="E96" i="8"/>
  <c r="E104" i="8"/>
  <c r="E112" i="8"/>
  <c r="E120" i="8"/>
  <c r="E128" i="8"/>
  <c r="E136" i="8"/>
  <c r="E81" i="8"/>
  <c r="E89" i="8"/>
  <c r="E97" i="8"/>
  <c r="E105" i="8"/>
  <c r="E113" i="8"/>
  <c r="E121" i="8"/>
  <c r="E129" i="8"/>
  <c r="E137" i="8"/>
  <c r="E82" i="8"/>
  <c r="E90" i="8"/>
  <c r="E98" i="8"/>
  <c r="E106" i="8"/>
  <c r="E114" i="8"/>
  <c r="E122" i="8"/>
  <c r="E130" i="8"/>
  <c r="E83" i="8"/>
  <c r="E91" i="8"/>
  <c r="E99" i="8"/>
  <c r="E107" i="8"/>
  <c r="E115" i="8"/>
  <c r="E123" i="8"/>
  <c r="E131" i="8"/>
  <c r="E94" i="8"/>
  <c r="E118" i="8"/>
  <c r="E76" i="8"/>
  <c r="E84" i="8"/>
  <c r="E92" i="8"/>
  <c r="E100" i="8"/>
  <c r="E108" i="8"/>
  <c r="E116" i="8"/>
  <c r="E124" i="8"/>
  <c r="E132" i="8"/>
  <c r="E78" i="8"/>
  <c r="E102" i="8"/>
  <c r="E126" i="8"/>
  <c r="E77" i="8"/>
  <c r="E85" i="8"/>
  <c r="E93" i="8"/>
  <c r="E101" i="8"/>
  <c r="E109" i="8"/>
  <c r="E117" i="8"/>
  <c r="E125" i="8"/>
  <c r="E133" i="8"/>
  <c r="E86" i="8"/>
  <c r="E110" i="8"/>
  <c r="E134" i="8"/>
  <c r="E75" i="8"/>
  <c r="G16" i="6"/>
  <c r="G15" i="6" s="1"/>
  <c r="G14" i="6" s="1"/>
  <c r="G13" i="6" s="1"/>
  <c r="G12" i="6" s="1"/>
  <c r="G11" i="6" s="1"/>
  <c r="G10" i="6" s="1"/>
</calcChain>
</file>

<file path=xl/sharedStrings.xml><?xml version="1.0" encoding="utf-8"?>
<sst xmlns="http://schemas.openxmlformats.org/spreadsheetml/2006/main" count="276" uniqueCount="72">
  <si>
    <t>Particle-size analysis</t>
  </si>
  <si>
    <t>Sample</t>
  </si>
  <si>
    <t>Sample no</t>
  </si>
  <si>
    <t>Date</t>
  </si>
  <si>
    <t>XX-XX-XXXX</t>
  </si>
  <si>
    <t>Sign</t>
  </si>
  <si>
    <t xml:space="preserve">Sample weight </t>
  </si>
  <si>
    <t>gram</t>
  </si>
  <si>
    <t>Lost % in sieving</t>
  </si>
  <si>
    <t>Mash size</t>
  </si>
  <si>
    <t>sieve+fraction</t>
  </si>
  <si>
    <t>sieve</t>
  </si>
  <si>
    <t>weight in</t>
  </si>
  <si>
    <t>mass</t>
  </si>
  <si>
    <t>Cumulative mass</t>
  </si>
  <si>
    <t>d mmm</t>
  </si>
  <si>
    <t>(g)</t>
  </si>
  <si>
    <t>sieve (g)</t>
  </si>
  <si>
    <t>procentages</t>
  </si>
  <si>
    <t>on curve</t>
  </si>
  <si>
    <t>Total soil</t>
  </si>
  <si>
    <t>&gt;63µm</t>
  </si>
  <si>
    <t>Alu  tray</t>
  </si>
  <si>
    <t>&lt;63µm after sieving</t>
  </si>
  <si>
    <t>Corrected &lt;63µm</t>
  </si>
  <si>
    <t>Pan</t>
  </si>
  <si>
    <t>&lt;63µm + Pan</t>
  </si>
  <si>
    <t>Sum</t>
  </si>
  <si>
    <t>Median grain size (at 50%)</t>
  </si>
  <si>
    <t>d 50</t>
  </si>
  <si>
    <t>Reading grain size diameter at 60 %</t>
  </si>
  <si>
    <t>d 60</t>
  </si>
  <si>
    <t>Reading grain size diameter at 10 %</t>
  </si>
  <si>
    <t>d 10</t>
  </si>
  <si>
    <t>Coefficient of skewness</t>
  </si>
  <si>
    <t>u=d 60% / d 10%</t>
  </si>
  <si>
    <t>Sorting degree</t>
  </si>
  <si>
    <t xml:space="preserve">So =SQRT(% d 75 /% d 25) </t>
  </si>
  <si>
    <t>Reading</t>
  </si>
  <si>
    <t>d 75</t>
  </si>
  <si>
    <t>d 25</t>
  </si>
  <si>
    <t>Kornstørrelses-sammensætning</t>
  </si>
  <si>
    <t>Prøve</t>
  </si>
  <si>
    <t>Prøve ID</t>
  </si>
  <si>
    <t>Prøve 1</t>
  </si>
  <si>
    <t xml:space="preserve">Dato </t>
  </si>
  <si>
    <t>12. april</t>
  </si>
  <si>
    <t>Prøve vægt</t>
  </si>
  <si>
    <t>Sigtetab %</t>
  </si>
  <si>
    <t>Maskevidde-</t>
  </si>
  <si>
    <t>Sigte + fraktion</t>
  </si>
  <si>
    <t>sigte tom</t>
  </si>
  <si>
    <t xml:space="preserve">vægt af </t>
  </si>
  <si>
    <t>vægt</t>
  </si>
  <si>
    <t>på kurve</t>
  </si>
  <si>
    <t xml:space="preserve">Kummulativ </t>
  </si>
  <si>
    <t>fraktion (g)</t>
  </si>
  <si>
    <t>procent</t>
  </si>
  <si>
    <t>vægt %t</t>
  </si>
  <si>
    <t>Bund</t>
  </si>
  <si>
    <t>Middel-kornstørrelse diameter ved 50 %</t>
  </si>
  <si>
    <t>Aflæs diameter ved 60 %</t>
  </si>
  <si>
    <t>Aflæs diameter ved 10 %</t>
  </si>
  <si>
    <t>Uensformighedstal</t>
  </si>
  <si>
    <t>Sorteringsgrad</t>
  </si>
  <si>
    <t xml:space="preserve">So =KVROD(% d 75 /% d 25) </t>
  </si>
  <si>
    <t xml:space="preserve">Aflæs </t>
  </si>
  <si>
    <t>Kalkprøve</t>
  </si>
  <si>
    <t>13.01.26</t>
  </si>
  <si>
    <t>Size (μm)</t>
  </si>
  <si>
    <t>% Volume In</t>
  </si>
  <si>
    <t>Size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</si>
</sst>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1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u/>
      <sz val="10"/>
      <name val="Arial"/>
      <family val="2"/>
    </font>
    <font>
      <b/>
      <sz val="14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4" fillId="0" borderId="0" xfId="0" applyFont="1"/>
    <xf numFmtId="0" fontId="0" fillId="0" borderId="1" xfId="0" applyBorder="1"/>
    <xf numFmtId="0" fontId="6" fillId="0" borderId="2" xfId="0" applyFont="1" applyBorder="1"/>
    <xf numFmtId="0" fontId="7" fillId="0" borderId="2" xfId="0" applyFont="1" applyBorder="1"/>
    <xf numFmtId="0" fontId="0" fillId="0" borderId="3" xfId="0" applyBorder="1"/>
    <xf numFmtId="0" fontId="8" fillId="0" borderId="0" xfId="0" applyFont="1"/>
    <xf numFmtId="0" fontId="5" fillId="0" borderId="4" xfId="0" applyFont="1" applyBorder="1"/>
    <xf numFmtId="0" fontId="0" fillId="0" borderId="5" xfId="0" applyBorder="1"/>
    <xf numFmtId="0" fontId="1" fillId="0" borderId="0" xfId="0" applyFont="1"/>
    <xf numFmtId="0" fontId="1" fillId="0" borderId="5" xfId="0" applyFont="1" applyBorder="1"/>
    <xf numFmtId="0" fontId="0" fillId="0" borderId="6" xfId="0" applyBorder="1"/>
    <xf numFmtId="0" fontId="5" fillId="0" borderId="7" xfId="0" applyFont="1" applyBorder="1"/>
    <xf numFmtId="0" fontId="1" fillId="0" borderId="3" xfId="0" applyFont="1" applyBorder="1"/>
    <xf numFmtId="0" fontId="0" fillId="2" borderId="1" xfId="0" applyFill="1" applyBorder="1"/>
    <xf numFmtId="0" fontId="0" fillId="2" borderId="8" xfId="0" applyFill="1" applyBorder="1"/>
    <xf numFmtId="0" fontId="1" fillId="0" borderId="8" xfId="0" applyFont="1" applyBorder="1"/>
    <xf numFmtId="0" fontId="0" fillId="0" borderId="9" xfId="0" applyBorder="1"/>
    <xf numFmtId="165" fontId="0" fillId="0" borderId="0" xfId="0" applyNumberFormat="1"/>
    <xf numFmtId="2" fontId="0" fillId="0" borderId="3" xfId="0" applyNumberFormat="1" applyBorder="1"/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4" fontId="10" fillId="0" borderId="5" xfId="0" applyNumberFormat="1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0" fontId="10" fillId="0" borderId="0" xfId="0" applyFont="1"/>
    <xf numFmtId="0" fontId="9" fillId="0" borderId="2" xfId="0" applyFont="1" applyBorder="1"/>
    <xf numFmtId="0" fontId="0" fillId="0" borderId="0" xfId="0" applyAlignment="1">
      <alignment horizontal="center"/>
    </xf>
    <xf numFmtId="2" fontId="0" fillId="0" borderId="0" xfId="0" applyNumberFormat="1"/>
    <xf numFmtId="0" fontId="2" fillId="0" borderId="0" xfId="0" applyFont="1"/>
    <xf numFmtId="2" fontId="2" fillId="0" borderId="0" xfId="0" applyNumberFormat="1" applyFont="1"/>
    <xf numFmtId="0" fontId="2" fillId="0" borderId="5" xfId="0" applyFont="1" applyBorder="1"/>
    <xf numFmtId="2" fontId="10" fillId="2" borderId="8" xfId="0" applyNumberFormat="1" applyFont="1" applyFill="1" applyBorder="1"/>
    <xf numFmtId="0" fontId="5" fillId="0" borderId="4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6" xfId="0" applyFont="1" applyBorder="1"/>
    <xf numFmtId="2" fontId="2" fillId="0" borderId="1" xfId="0" applyNumberFormat="1" applyFont="1" applyBorder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181208053691275E-2"/>
          <c:y val="5.1912706819679653E-2"/>
          <c:w val="0.74832214765100669"/>
          <c:h val="0.781422850022546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English!$F$12:$F$21</c:f>
              <c:numCache>
                <c:formatCode>0.000</c:formatCode>
                <c:ptCount val="10"/>
                <c:pt idx="1">
                  <c:v>2</c:v>
                </c:pt>
                <c:pt idx="2">
                  <c:v>1</c:v>
                </c:pt>
                <c:pt idx="3">
                  <c:v>0.6</c:v>
                </c:pt>
                <c:pt idx="4">
                  <c:v>0.35499999999999998</c:v>
                </c:pt>
                <c:pt idx="5">
                  <c:v>0.25</c:v>
                </c:pt>
                <c:pt idx="6">
                  <c:v>0.18</c:v>
                </c:pt>
                <c:pt idx="7">
                  <c:v>0.125</c:v>
                </c:pt>
                <c:pt idx="8">
                  <c:v>0.09</c:v>
                </c:pt>
                <c:pt idx="9">
                  <c:v>6.3E-2</c:v>
                </c:pt>
              </c:numCache>
            </c:numRef>
          </c:xVal>
          <c:yVal>
            <c:numRef>
              <c:f>English!$G$12:$G$21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D7-4F0E-A8B4-29ED23789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217024"/>
        <c:axId val="1"/>
      </c:scatterChart>
      <c:valAx>
        <c:axId val="1114217024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Equivalent Spherical Diameter, mm</a:t>
                </a:r>
              </a:p>
            </c:rich>
          </c:tx>
          <c:layout>
            <c:manualLayout>
              <c:xMode val="edge"/>
              <c:yMode val="edge"/>
              <c:x val="0.28859055118110238"/>
              <c:y val="0.90710624542833784"/>
            </c:manualLayout>
          </c:layout>
          <c:overlay val="0"/>
          <c:spPr>
            <a:noFill/>
            <a:ln w="25400">
              <a:noFill/>
            </a:ln>
          </c:spPr>
        </c:title>
        <c:numFmt formatCode="0.00;[Red]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Cumulative mass percent</a:t>
                </a:r>
              </a:p>
            </c:rich>
          </c:tx>
          <c:layout>
            <c:manualLayout>
              <c:xMode val="edge"/>
              <c:yMode val="edge"/>
              <c:x val="8.3892716535433065E-3"/>
              <c:y val="0.2431699367497095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14217024"/>
        <c:crossesAt val="0.01"/>
        <c:crossBetween val="midCat"/>
        <c:minorUnit val="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" r="0.75" t="1" header="0.5" footer="0.5"/>
    <c:pageSetup paperSize="9"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461621527213721E-2"/>
          <c:y val="5.1912706819679653E-2"/>
          <c:w val="0.73076991696393945"/>
          <c:h val="0.781422850022546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English!$F$12:$F$21</c:f>
              <c:numCache>
                <c:formatCode>0.000</c:formatCode>
                <c:ptCount val="10"/>
                <c:pt idx="1">
                  <c:v>2</c:v>
                </c:pt>
                <c:pt idx="2">
                  <c:v>1</c:v>
                </c:pt>
                <c:pt idx="3">
                  <c:v>0.6</c:v>
                </c:pt>
                <c:pt idx="4">
                  <c:v>0.35499999999999998</c:v>
                </c:pt>
                <c:pt idx="5">
                  <c:v>0.25</c:v>
                </c:pt>
                <c:pt idx="6">
                  <c:v>0.18</c:v>
                </c:pt>
                <c:pt idx="7">
                  <c:v>0.125</c:v>
                </c:pt>
                <c:pt idx="8">
                  <c:v>0.09</c:v>
                </c:pt>
                <c:pt idx="9">
                  <c:v>6.3E-2</c:v>
                </c:pt>
              </c:numCache>
            </c:numRef>
          </c:xVal>
          <c:yVal>
            <c:numRef>
              <c:f>English!$G$12:$G$21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5D-4EE2-A505-98E8C7E4C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215104"/>
        <c:axId val="1"/>
      </c:scatterChart>
      <c:valAx>
        <c:axId val="1114215104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Kornstørrelse i mm
X</a:t>
                </a:r>
              </a:p>
            </c:rich>
          </c:tx>
          <c:layout>
            <c:manualLayout>
              <c:xMode val="edge"/>
              <c:yMode val="edge"/>
              <c:x val="0.34615434485359992"/>
              <c:y val="0.89071276422352985"/>
            </c:manualLayout>
          </c:layout>
          <c:overlay val="0"/>
          <c:spPr>
            <a:noFill/>
            <a:ln w="25400">
              <a:noFill/>
            </a:ln>
          </c:spPr>
        </c:title>
        <c:numFmt formatCode="0.00;[Red]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Kumulativ vægt %</a:t>
                </a:r>
              </a:p>
            </c:rich>
          </c:tx>
          <c:layout>
            <c:manualLayout>
              <c:xMode val="edge"/>
              <c:yMode val="edge"/>
              <c:x val="9.6154148396121134E-3"/>
              <c:y val="0.30874403547522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14215104"/>
        <c:crossesAt val="0.01"/>
        <c:crossBetween val="midCat"/>
        <c:minorUnit val="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" r="0.75" t="1" header="0.5" footer="0.5"/>
    <c:pageSetup paperSize="9"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181208053691275E-2"/>
          <c:y val="5.1912706819679653E-2"/>
          <c:w val="0.74832214765100669"/>
          <c:h val="0.781422850022546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'101'!$F$12:$F$21</c:f>
              <c:numCache>
                <c:formatCode>0.000</c:formatCode>
                <c:ptCount val="10"/>
                <c:pt idx="0" formatCode="General">
                  <c:v>6.3</c:v>
                </c:pt>
                <c:pt idx="1">
                  <c:v>2</c:v>
                </c:pt>
                <c:pt idx="2">
                  <c:v>1</c:v>
                </c:pt>
                <c:pt idx="3">
                  <c:v>0.6</c:v>
                </c:pt>
                <c:pt idx="4">
                  <c:v>0.35499999999999998</c:v>
                </c:pt>
                <c:pt idx="5">
                  <c:v>0.25</c:v>
                </c:pt>
                <c:pt idx="6">
                  <c:v>0.18</c:v>
                </c:pt>
                <c:pt idx="7">
                  <c:v>0.125</c:v>
                </c:pt>
                <c:pt idx="8">
                  <c:v>0.09</c:v>
                </c:pt>
                <c:pt idx="9">
                  <c:v>6.3E-2</c:v>
                </c:pt>
              </c:numCache>
            </c:numRef>
          </c:xVal>
          <c:yVal>
            <c:numRef>
              <c:f>'101'!$G$12:$G$21</c:f>
              <c:numCache>
                <c:formatCode>0.00</c:formatCode>
                <c:ptCount val="10"/>
                <c:pt idx="0">
                  <c:v>100</c:v>
                </c:pt>
                <c:pt idx="1">
                  <c:v>99.446749654218564</c:v>
                </c:pt>
                <c:pt idx="2">
                  <c:v>82.019363762102373</c:v>
                </c:pt>
                <c:pt idx="3">
                  <c:v>61.825726141078846</c:v>
                </c:pt>
                <c:pt idx="4">
                  <c:v>45.22821576763485</c:v>
                </c:pt>
                <c:pt idx="5">
                  <c:v>37.206085753803571</c:v>
                </c:pt>
                <c:pt idx="6">
                  <c:v>32.226832641770379</c:v>
                </c:pt>
                <c:pt idx="7">
                  <c:v>25.034578146611331</c:v>
                </c:pt>
                <c:pt idx="8">
                  <c:v>21.161825726141085</c:v>
                </c:pt>
                <c:pt idx="9">
                  <c:v>17.012448132780086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DB-4CFD-A04D-50A36A770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5436432"/>
        <c:axId val="1"/>
      </c:scatterChart>
      <c:valAx>
        <c:axId val="1115436432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Equivalent Spherical Diameter, mm</a:t>
                </a:r>
              </a:p>
            </c:rich>
          </c:tx>
          <c:layout>
            <c:manualLayout>
              <c:xMode val="edge"/>
              <c:yMode val="edge"/>
              <c:x val="0.28859041616033881"/>
              <c:y val="0.90710617166374719"/>
            </c:manualLayout>
          </c:layout>
          <c:overlay val="0"/>
          <c:spPr>
            <a:noFill/>
            <a:ln w="25400">
              <a:noFill/>
            </a:ln>
          </c:spPr>
        </c:title>
        <c:numFmt formatCode="0.00;[Red]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Cumulative mass percent</a:t>
                </a:r>
              </a:p>
            </c:rich>
          </c:tx>
          <c:layout>
            <c:manualLayout>
              <c:xMode val="edge"/>
              <c:yMode val="edge"/>
              <c:x val="8.3892352226360659E-3"/>
              <c:y val="0.2431699007386495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15436432"/>
        <c:crossesAt val="0.01"/>
        <c:crossBetween val="midCat"/>
        <c:minorUnit val="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" r="0.75" t="1" header="0.5" footer="0.5"/>
    <c:pageSetup paperSize="9" orientation="landscape" horizontalDpi="300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181208053691275E-2"/>
          <c:y val="5.1912706819679653E-2"/>
          <c:w val="0.74832214765100669"/>
          <c:h val="0.781422850022546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'33'!$F$12:$F$21</c:f>
              <c:numCache>
                <c:formatCode>0.000</c:formatCode>
                <c:ptCount val="10"/>
                <c:pt idx="0" formatCode="General">
                  <c:v>6.3</c:v>
                </c:pt>
                <c:pt idx="1">
                  <c:v>2</c:v>
                </c:pt>
                <c:pt idx="2">
                  <c:v>1</c:v>
                </c:pt>
                <c:pt idx="3">
                  <c:v>0.6</c:v>
                </c:pt>
                <c:pt idx="4">
                  <c:v>0.35499999999999998</c:v>
                </c:pt>
                <c:pt idx="5">
                  <c:v>0.25</c:v>
                </c:pt>
                <c:pt idx="6">
                  <c:v>0.18</c:v>
                </c:pt>
                <c:pt idx="7">
                  <c:v>0.125</c:v>
                </c:pt>
                <c:pt idx="8">
                  <c:v>0.09</c:v>
                </c:pt>
                <c:pt idx="9">
                  <c:v>6.3E-2</c:v>
                </c:pt>
              </c:numCache>
            </c:numRef>
          </c:xVal>
          <c:yVal>
            <c:numRef>
              <c:f>'33'!$G$12:$G$21</c:f>
              <c:numCache>
                <c:formatCode>0.00</c:formatCode>
                <c:ptCount val="10"/>
                <c:pt idx="0">
                  <c:v>100</c:v>
                </c:pt>
                <c:pt idx="1">
                  <c:v>97.537800911506096</c:v>
                </c:pt>
                <c:pt idx="2">
                  <c:v>95.814261549560356</c:v>
                </c:pt>
                <c:pt idx="3">
                  <c:v>92.367182825668891</c:v>
                </c:pt>
                <c:pt idx="4">
                  <c:v>83.749486015940249</c:v>
                </c:pt>
                <c:pt idx="5">
                  <c:v>74.885569297362196</c:v>
                </c:pt>
                <c:pt idx="6">
                  <c:v>67.745191940729882</c:v>
                </c:pt>
                <c:pt idx="7">
                  <c:v>57.157735860206138</c:v>
                </c:pt>
                <c:pt idx="8">
                  <c:v>50.509798321272648</c:v>
                </c:pt>
                <c:pt idx="9">
                  <c:v>43.61564087348971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47-43FC-84D3-21B18E38723D}"/>
            </c:ext>
          </c:extLst>
        </c:ser>
        <c:ser>
          <c:idx val="1"/>
          <c:order val="1"/>
          <c:tx>
            <c:strRef>
              <c:f>'33'!$B$56</c:f>
              <c:strCache>
                <c:ptCount val="1"/>
                <c:pt idx="0">
                  <c:v>Size (μm)</c:v>
                </c:pt>
              </c:strCache>
            </c:strRef>
          </c:tx>
          <c:marker>
            <c:symbol val="none"/>
          </c:marker>
          <c:xVal>
            <c:numRef>
              <c:f>'33'!$A$57:$A$108</c:f>
              <c:numCache>
                <c:formatCode>General</c:formatCode>
                <c:ptCount val="52"/>
                <c:pt idx="0">
                  <c:v>9.9500000000000006E-5</c:v>
                </c:pt>
                <c:pt idx="1">
                  <c:v>1.1300000000000001E-4</c:v>
                </c:pt>
                <c:pt idx="2">
                  <c:v>1.2799999999999999E-4</c:v>
                </c:pt>
                <c:pt idx="3">
                  <c:v>1.46E-4</c:v>
                </c:pt>
                <c:pt idx="4">
                  <c:v>1.66E-4</c:v>
                </c:pt>
                <c:pt idx="5">
                  <c:v>1.8799999999999999E-4</c:v>
                </c:pt>
                <c:pt idx="6">
                  <c:v>2.14E-4</c:v>
                </c:pt>
                <c:pt idx="7">
                  <c:v>2.43E-4</c:v>
                </c:pt>
                <c:pt idx="8">
                  <c:v>2.7600000000000004E-4</c:v>
                </c:pt>
                <c:pt idx="9">
                  <c:v>3.1399999999999999E-4</c:v>
                </c:pt>
                <c:pt idx="10">
                  <c:v>3.57E-4</c:v>
                </c:pt>
                <c:pt idx="11">
                  <c:v>4.0500000000000003E-4</c:v>
                </c:pt>
                <c:pt idx="12">
                  <c:v>4.6000000000000001E-4</c:v>
                </c:pt>
                <c:pt idx="13">
                  <c:v>5.2300000000000003E-4</c:v>
                </c:pt>
                <c:pt idx="14">
                  <c:v>5.9400000000000002E-4</c:v>
                </c:pt>
                <c:pt idx="15">
                  <c:v>6.7500000000000004E-4</c:v>
                </c:pt>
                <c:pt idx="16">
                  <c:v>7.67E-4</c:v>
                </c:pt>
                <c:pt idx="17">
                  <c:v>8.7199999999999995E-4</c:v>
                </c:pt>
                <c:pt idx="18">
                  <c:v>9.9099999999999991E-4</c:v>
                </c:pt>
                <c:pt idx="19">
                  <c:v>1.1299999999999999E-3</c:v>
                </c:pt>
                <c:pt idx="20">
                  <c:v>1.2800000000000001E-3</c:v>
                </c:pt>
                <c:pt idx="21">
                  <c:v>1.4499999999999999E-3</c:v>
                </c:pt>
                <c:pt idx="22">
                  <c:v>1.65E-3</c:v>
                </c:pt>
                <c:pt idx="23">
                  <c:v>1.8799999999999999E-3</c:v>
                </c:pt>
                <c:pt idx="24">
                  <c:v>2.1299999999999999E-3</c:v>
                </c:pt>
                <c:pt idx="25">
                  <c:v>2.4199999999999998E-3</c:v>
                </c:pt>
                <c:pt idx="26">
                  <c:v>2.7499999999999998E-3</c:v>
                </c:pt>
                <c:pt idx="27">
                  <c:v>3.1199999999999999E-3</c:v>
                </c:pt>
                <c:pt idx="28">
                  <c:v>3.5499999999999998E-3</c:v>
                </c:pt>
                <c:pt idx="29">
                  <c:v>4.0300000000000006E-3</c:v>
                </c:pt>
                <c:pt idx="30">
                  <c:v>4.5799999999999999E-3</c:v>
                </c:pt>
                <c:pt idx="31">
                  <c:v>5.2100000000000002E-3</c:v>
                </c:pt>
                <c:pt idx="32">
                  <c:v>5.9199999999999999E-3</c:v>
                </c:pt>
                <c:pt idx="33">
                  <c:v>6.7199999999999994E-3</c:v>
                </c:pt>
                <c:pt idx="34">
                  <c:v>7.6400000000000001E-3</c:v>
                </c:pt>
                <c:pt idx="35">
                  <c:v>8.6800000000000002E-3</c:v>
                </c:pt>
                <c:pt idx="36">
                  <c:v>9.859999999999999E-3</c:v>
                </c:pt>
                <c:pt idx="37">
                  <c:v>1.12E-2</c:v>
                </c:pt>
                <c:pt idx="38">
                  <c:v>1.2699999999999999E-2</c:v>
                </c:pt>
                <c:pt idx="39">
                  <c:v>1.4500000000000001E-2</c:v>
                </c:pt>
                <c:pt idx="40">
                  <c:v>1.6399999999999998E-2</c:v>
                </c:pt>
                <c:pt idx="41">
                  <c:v>1.8699999999999998E-2</c:v>
                </c:pt>
                <c:pt idx="42">
                  <c:v>2.12E-2</c:v>
                </c:pt>
                <c:pt idx="43">
                  <c:v>2.41E-2</c:v>
                </c:pt>
                <c:pt idx="44">
                  <c:v>2.7399999999999997E-2</c:v>
                </c:pt>
                <c:pt idx="45">
                  <c:v>3.1100000000000003E-2</c:v>
                </c:pt>
                <c:pt idx="46">
                  <c:v>3.5299999999999998E-2</c:v>
                </c:pt>
                <c:pt idx="47">
                  <c:v>4.0100000000000004E-2</c:v>
                </c:pt>
                <c:pt idx="48">
                  <c:v>4.5600000000000002E-2</c:v>
                </c:pt>
                <c:pt idx="49">
                  <c:v>5.1799999999999999E-2</c:v>
                </c:pt>
                <c:pt idx="50">
                  <c:v>5.8900000000000001E-2</c:v>
                </c:pt>
                <c:pt idx="51">
                  <c:v>6.6900000000000001E-2</c:v>
                </c:pt>
              </c:numCache>
            </c:numRef>
          </c:xVal>
          <c:yVal>
            <c:numRef>
              <c:f>'33'!$E$57:$E$108</c:f>
              <c:numCache>
                <c:formatCode>General</c:formatCode>
                <c:ptCount val="52"/>
                <c:pt idx="19">
                  <c:v>7.8508153572281469E-2</c:v>
                </c:pt>
                <c:pt idx="20">
                  <c:v>0.28350166567768309</c:v>
                </c:pt>
                <c:pt idx="21">
                  <c:v>0.64551148492764765</c:v>
                </c:pt>
                <c:pt idx="22">
                  <c:v>1.1819838676715713</c:v>
                </c:pt>
                <c:pt idx="23">
                  <c:v>1.8841956857347557</c:v>
                </c:pt>
                <c:pt idx="24">
                  <c:v>2.7390622468551538</c:v>
                </c:pt>
                <c:pt idx="25">
                  <c:v>3.7465835510327663</c:v>
                </c:pt>
                <c:pt idx="26">
                  <c:v>4.9154827264422902</c:v>
                </c:pt>
                <c:pt idx="27">
                  <c:v>6.2544829012584238</c:v>
                </c:pt>
                <c:pt idx="28">
                  <c:v>7.7810303318305634</c:v>
                </c:pt>
                <c:pt idx="29">
                  <c:v>9.4951250181587099</c:v>
                </c:pt>
                <c:pt idx="30">
                  <c:v>11.392405396155512</c:v>
                </c:pt>
                <c:pt idx="31">
                  <c:v>13.446702081296875</c:v>
                </c:pt>
                <c:pt idx="32">
                  <c:v>15.636207253146058</c:v>
                </c:pt>
                <c:pt idx="33">
                  <c:v>17.926028399004267</c:v>
                </c:pt>
                <c:pt idx="34">
                  <c:v>20.281273006172711</c:v>
                </c:pt>
                <c:pt idx="35">
                  <c:v>22.667048561952598</c:v>
                </c:pt>
                <c:pt idx="36">
                  <c:v>25.048462553645138</c:v>
                </c:pt>
                <c:pt idx="37">
                  <c:v>27.381899340376837</c:v>
                </c:pt>
                <c:pt idx="38">
                  <c:v>29.636827973536253</c:v>
                </c:pt>
                <c:pt idx="39">
                  <c:v>31.778355940424593</c:v>
                </c:pt>
                <c:pt idx="40">
                  <c:v>33.775952292430425</c:v>
                </c:pt>
                <c:pt idx="41">
                  <c:v>35.60344764502964</c:v>
                </c:pt>
                <c:pt idx="42">
                  <c:v>37.234672613698152</c:v>
                </c:pt>
                <c:pt idx="43">
                  <c:v>38.64781937799922</c:v>
                </c:pt>
                <c:pt idx="44">
                  <c:v>39.834164809758143</c:v>
                </c:pt>
                <c:pt idx="45">
                  <c:v>40.798070473062261</c:v>
                </c:pt>
                <c:pt idx="46">
                  <c:v>41.552621060173635</c:v>
                </c:pt>
                <c:pt idx="47">
                  <c:v>42.128347519703695</c:v>
                </c:pt>
                <c:pt idx="48">
                  <c:v>42.555780800263889</c:v>
                </c:pt>
                <c:pt idx="49">
                  <c:v>42.869813414553022</c:v>
                </c:pt>
                <c:pt idx="50">
                  <c:v>43.100976311182514</c:v>
                </c:pt>
                <c:pt idx="51">
                  <c:v>43.275438874676475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C0-4A27-AAA1-B86516491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5436432"/>
        <c:axId val="1"/>
      </c:scatterChart>
      <c:valAx>
        <c:axId val="1115436432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Equivalent Spherical Diameter, mm</a:t>
                </a:r>
              </a:p>
            </c:rich>
          </c:tx>
          <c:layout>
            <c:manualLayout>
              <c:xMode val="edge"/>
              <c:yMode val="edge"/>
              <c:x val="0.28859041616033881"/>
              <c:y val="0.90710617166374719"/>
            </c:manualLayout>
          </c:layout>
          <c:overlay val="0"/>
          <c:spPr>
            <a:noFill/>
            <a:ln w="25400">
              <a:noFill/>
            </a:ln>
          </c:spPr>
        </c:title>
        <c:numFmt formatCode="0.00;[Red]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Cumulative mass percent</a:t>
                </a:r>
              </a:p>
            </c:rich>
          </c:tx>
          <c:layout>
            <c:manualLayout>
              <c:xMode val="edge"/>
              <c:yMode val="edge"/>
              <c:x val="8.3892352226360659E-3"/>
              <c:y val="0.2431699007386495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15436432"/>
        <c:crossesAt val="0.01"/>
        <c:crossBetween val="midCat"/>
        <c:minorUnit val="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" r="0.75" t="1" header="0.5" footer="0.5"/>
    <c:pageSetup paperSize="9" orientation="landscape" horizontalDpi="300" verticalDpi="3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181208053691275E-2"/>
          <c:y val="5.1912706819679653E-2"/>
          <c:w val="0.74832214765100669"/>
          <c:h val="0.781422850022546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'54'!$F$12:$F$21</c:f>
              <c:numCache>
                <c:formatCode>0.000</c:formatCode>
                <c:ptCount val="10"/>
                <c:pt idx="0" formatCode="General">
                  <c:v>6.3</c:v>
                </c:pt>
                <c:pt idx="1">
                  <c:v>2</c:v>
                </c:pt>
                <c:pt idx="2">
                  <c:v>1</c:v>
                </c:pt>
                <c:pt idx="3">
                  <c:v>0.6</c:v>
                </c:pt>
                <c:pt idx="4">
                  <c:v>0.35499999999999998</c:v>
                </c:pt>
                <c:pt idx="5">
                  <c:v>0.25</c:v>
                </c:pt>
                <c:pt idx="6">
                  <c:v>0.18</c:v>
                </c:pt>
                <c:pt idx="7">
                  <c:v>0.125</c:v>
                </c:pt>
                <c:pt idx="8">
                  <c:v>0.09</c:v>
                </c:pt>
                <c:pt idx="9">
                  <c:v>6.3E-2</c:v>
                </c:pt>
              </c:numCache>
            </c:numRef>
          </c:xVal>
          <c:yVal>
            <c:numRef>
              <c:f>'54'!$G$12:$G$21</c:f>
              <c:numCache>
                <c:formatCode>0.00</c:formatCode>
                <c:ptCount val="10"/>
                <c:pt idx="0">
                  <c:v>100</c:v>
                </c:pt>
                <c:pt idx="1">
                  <c:v>98.592508768670371</c:v>
                </c:pt>
                <c:pt idx="2">
                  <c:v>96.340522798542978</c:v>
                </c:pt>
                <c:pt idx="3">
                  <c:v>93.10329296648483</c:v>
                </c:pt>
                <c:pt idx="4">
                  <c:v>85.362091194171867</c:v>
                </c:pt>
                <c:pt idx="5">
                  <c:v>77.339391175592979</c:v>
                </c:pt>
                <c:pt idx="6">
                  <c:v>71.146429757742609</c:v>
                </c:pt>
                <c:pt idx="7">
                  <c:v>62.560733246631862</c:v>
                </c:pt>
                <c:pt idx="8">
                  <c:v>56.227022705648537</c:v>
                </c:pt>
                <c:pt idx="9">
                  <c:v>51.019305149728908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73-4029-936E-9B2DF2532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5436432"/>
        <c:axId val="1"/>
      </c:scatterChart>
      <c:valAx>
        <c:axId val="1115436432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Equivalent Spherical Diameter, mm</a:t>
                </a:r>
              </a:p>
            </c:rich>
          </c:tx>
          <c:layout>
            <c:manualLayout>
              <c:xMode val="edge"/>
              <c:yMode val="edge"/>
              <c:x val="0.28859041616033881"/>
              <c:y val="0.90710617166374719"/>
            </c:manualLayout>
          </c:layout>
          <c:overlay val="0"/>
          <c:spPr>
            <a:noFill/>
            <a:ln w="25400">
              <a:noFill/>
            </a:ln>
          </c:spPr>
        </c:title>
        <c:numFmt formatCode="0.00;[Red]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Cumulative mass percent</a:t>
                </a:r>
              </a:p>
            </c:rich>
          </c:tx>
          <c:layout>
            <c:manualLayout>
              <c:xMode val="edge"/>
              <c:yMode val="edge"/>
              <c:x val="8.3892352226360659E-3"/>
              <c:y val="0.2431699007386495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15436432"/>
        <c:crossesAt val="0.01"/>
        <c:crossBetween val="midCat"/>
        <c:minorUnit val="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" r="0.75" t="1" header="0.5" footer="0.5"/>
    <c:pageSetup paperSize="9" orientation="landscape" horizontalDpi="300" verticalDpi="3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181208053691275E-2"/>
          <c:y val="5.1912706819679653E-2"/>
          <c:w val="0.74832214765100669"/>
          <c:h val="0.781422850022546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'100'!$F$12:$F$21</c:f>
              <c:numCache>
                <c:formatCode>0.000</c:formatCode>
                <c:ptCount val="10"/>
                <c:pt idx="0" formatCode="General">
                  <c:v>6.3</c:v>
                </c:pt>
                <c:pt idx="1">
                  <c:v>2</c:v>
                </c:pt>
                <c:pt idx="2">
                  <c:v>1</c:v>
                </c:pt>
                <c:pt idx="3">
                  <c:v>0.6</c:v>
                </c:pt>
                <c:pt idx="4">
                  <c:v>0.35499999999999998</c:v>
                </c:pt>
                <c:pt idx="5">
                  <c:v>0.25</c:v>
                </c:pt>
                <c:pt idx="6">
                  <c:v>0.18</c:v>
                </c:pt>
                <c:pt idx="7">
                  <c:v>0.125</c:v>
                </c:pt>
                <c:pt idx="8">
                  <c:v>0.09</c:v>
                </c:pt>
                <c:pt idx="9">
                  <c:v>6.3E-2</c:v>
                </c:pt>
              </c:numCache>
            </c:numRef>
          </c:xVal>
          <c:yVal>
            <c:numRef>
              <c:f>'100'!$G$12:$G$21</c:f>
              <c:numCache>
                <c:formatCode>0.00</c:formatCode>
                <c:ptCount val="10"/>
                <c:pt idx="0">
                  <c:v>99.999999999999986</c:v>
                </c:pt>
                <c:pt idx="1">
                  <c:v>98.368345910666903</c:v>
                </c:pt>
                <c:pt idx="2">
                  <c:v>95.920864776667315</c:v>
                </c:pt>
                <c:pt idx="3">
                  <c:v>92.453599836834556</c:v>
                </c:pt>
                <c:pt idx="4">
                  <c:v>84.49928615133588</c:v>
                </c:pt>
                <c:pt idx="5">
                  <c:v>76.341015704670582</c:v>
                </c:pt>
                <c:pt idx="6">
                  <c:v>70.01835610850496</c:v>
                </c:pt>
                <c:pt idx="7">
                  <c:v>61.248215378339744</c:v>
                </c:pt>
                <c:pt idx="8">
                  <c:v>55.129512543340773</c:v>
                </c:pt>
                <c:pt idx="9">
                  <c:v>49.826636753008344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F2-41E5-BC21-5B60E183C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5436432"/>
        <c:axId val="1"/>
      </c:scatterChart>
      <c:valAx>
        <c:axId val="1115436432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Equivalent Spherical Diameter, mm</a:t>
                </a:r>
              </a:p>
            </c:rich>
          </c:tx>
          <c:layout>
            <c:manualLayout>
              <c:xMode val="edge"/>
              <c:yMode val="edge"/>
              <c:x val="0.28859041616033881"/>
              <c:y val="0.90710617166374719"/>
            </c:manualLayout>
          </c:layout>
          <c:overlay val="0"/>
          <c:spPr>
            <a:noFill/>
            <a:ln w="25400">
              <a:noFill/>
            </a:ln>
          </c:spPr>
        </c:title>
        <c:numFmt formatCode="0.00;[Red]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Cumulative mass percent</a:t>
                </a:r>
              </a:p>
            </c:rich>
          </c:tx>
          <c:layout>
            <c:manualLayout>
              <c:xMode val="edge"/>
              <c:yMode val="edge"/>
              <c:x val="8.3892352226360659E-3"/>
              <c:y val="0.2431699007386495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15436432"/>
        <c:crossesAt val="0.01"/>
        <c:crossBetween val="midCat"/>
        <c:minorUnit val="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" r="0.75" t="1" header="0.5" footer="0.5"/>
    <c:pageSetup paperSize="9"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23</xdr:row>
      <xdr:rowOff>28575</xdr:rowOff>
    </xdr:from>
    <xdr:to>
      <xdr:col>7</xdr:col>
      <xdr:colOff>66675</xdr:colOff>
      <xdr:row>44</xdr:row>
      <xdr:rowOff>114300</xdr:rowOff>
    </xdr:to>
    <xdr:graphicFrame macro="">
      <xdr:nvGraphicFramePr>
        <xdr:cNvPr id="1224" name="Chart 4">
          <a:extLst>
            <a:ext uri="{FF2B5EF4-FFF2-40B4-BE49-F238E27FC236}">
              <a16:creationId xmlns:a16="http://schemas.microsoft.com/office/drawing/2014/main" id="{65510E4A-E7B3-2750-2D15-1B683CC7C0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23</xdr:row>
      <xdr:rowOff>28575</xdr:rowOff>
    </xdr:from>
    <xdr:to>
      <xdr:col>7</xdr:col>
      <xdr:colOff>66675</xdr:colOff>
      <xdr:row>44</xdr:row>
      <xdr:rowOff>114300</xdr:rowOff>
    </xdr:to>
    <xdr:graphicFrame macro="">
      <xdr:nvGraphicFramePr>
        <xdr:cNvPr id="4293" name="Chart 1">
          <a:extLst>
            <a:ext uri="{FF2B5EF4-FFF2-40B4-BE49-F238E27FC236}">
              <a16:creationId xmlns:a16="http://schemas.microsoft.com/office/drawing/2014/main" id="{D881B1FB-C600-0258-2752-01E44DD36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23</xdr:row>
      <xdr:rowOff>28575</xdr:rowOff>
    </xdr:from>
    <xdr:to>
      <xdr:col>7</xdr:col>
      <xdr:colOff>66675</xdr:colOff>
      <xdr:row>44</xdr:row>
      <xdr:rowOff>114300</xdr:rowOff>
    </xdr:to>
    <xdr:graphicFrame macro="">
      <xdr:nvGraphicFramePr>
        <xdr:cNvPr id="398341" name="Chart 4">
          <a:extLst>
            <a:ext uri="{FF2B5EF4-FFF2-40B4-BE49-F238E27FC236}">
              <a16:creationId xmlns:a16="http://schemas.microsoft.com/office/drawing/2014/main" id="{51045D50-304B-A066-0C2E-69A8851242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23</xdr:row>
      <xdr:rowOff>28575</xdr:rowOff>
    </xdr:from>
    <xdr:to>
      <xdr:col>7</xdr:col>
      <xdr:colOff>66675</xdr:colOff>
      <xdr:row>44</xdr:row>
      <xdr:rowOff>114300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DC9FE9E9-A220-4759-8225-D570B0564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23</xdr:row>
      <xdr:rowOff>28575</xdr:rowOff>
    </xdr:from>
    <xdr:to>
      <xdr:col>7</xdr:col>
      <xdr:colOff>66675</xdr:colOff>
      <xdr:row>44</xdr:row>
      <xdr:rowOff>114300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3EE70308-9508-481D-9E2B-7325C5DBC7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23</xdr:row>
      <xdr:rowOff>28575</xdr:rowOff>
    </xdr:from>
    <xdr:to>
      <xdr:col>7</xdr:col>
      <xdr:colOff>66675</xdr:colOff>
      <xdr:row>44</xdr:row>
      <xdr:rowOff>114300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E5575EDD-C9FD-4986-AEFC-B0B3DA797A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DA469-DED7-4076-A1C5-3F3EFCF08C64}">
  <dimension ref="A1:L53"/>
  <sheetViews>
    <sheetView zoomScale="75" workbookViewId="0">
      <selection activeCell="K28" sqref="K28"/>
    </sheetView>
  </sheetViews>
  <sheetFormatPr defaultRowHeight="12.75" x14ac:dyDescent="0.2"/>
  <cols>
    <col min="1" max="1" width="14" customWidth="1"/>
    <col min="2" max="3" width="13.85546875" customWidth="1"/>
    <col min="4" max="4" width="14.28515625" bestFit="1" customWidth="1"/>
    <col min="5" max="6" width="10.7109375" customWidth="1"/>
    <col min="7" max="7" width="15.85546875" customWidth="1"/>
    <col min="9" max="9" width="17.140625" bestFit="1" customWidth="1"/>
    <col min="11" max="11" width="18.42578125" bestFit="1" customWidth="1"/>
  </cols>
  <sheetData>
    <row r="1" spans="1:12" ht="18" x14ac:dyDescent="0.25">
      <c r="A1" s="6" t="s">
        <v>0</v>
      </c>
      <c r="B1" s="6"/>
    </row>
    <row r="2" spans="1:12" ht="15.75" x14ac:dyDescent="0.25">
      <c r="A2" s="1"/>
    </row>
    <row r="3" spans="1:12" ht="13.5" thickBot="1" x14ac:dyDescent="0.25">
      <c r="A3" s="3" t="s">
        <v>1</v>
      </c>
      <c r="B3" s="38"/>
      <c r="C3" s="4"/>
      <c r="D3" s="4"/>
      <c r="E3" s="4"/>
    </row>
    <row r="4" spans="1:12" ht="13.5" thickBot="1" x14ac:dyDescent="0.25">
      <c r="A4" s="7" t="s">
        <v>2</v>
      </c>
      <c r="B4" s="43"/>
      <c r="C4" s="45" t="s">
        <v>3</v>
      </c>
      <c r="D4" s="35" t="s">
        <v>4</v>
      </c>
      <c r="E4" s="46" t="s">
        <v>5</v>
      </c>
      <c r="G4" s="37"/>
    </row>
    <row r="5" spans="1:12" ht="13.5" thickBot="1" x14ac:dyDescent="0.25">
      <c r="A5" s="7" t="s">
        <v>6</v>
      </c>
      <c r="B5" s="47"/>
      <c r="C5" s="44"/>
      <c r="D5" s="10" t="s">
        <v>7</v>
      </c>
      <c r="E5" s="16"/>
      <c r="G5" s="37"/>
    </row>
    <row r="6" spans="1:12" ht="13.5" thickBot="1" x14ac:dyDescent="0.25">
      <c r="A6" s="12" t="s">
        <v>8</v>
      </c>
      <c r="B6" s="19" t="e">
        <f>100-(D22/C5*100)</f>
        <v>#DIV/0!</v>
      </c>
      <c r="C6" s="5">
        <v>0</v>
      </c>
      <c r="D6" s="13"/>
      <c r="E6" s="5"/>
      <c r="F6" s="9"/>
    </row>
    <row r="7" spans="1:12" ht="14.25" customHeight="1" x14ac:dyDescent="0.2">
      <c r="A7" s="20" t="s">
        <v>9</v>
      </c>
      <c r="B7" s="32" t="s">
        <v>10</v>
      </c>
      <c r="C7" s="22" t="s">
        <v>11</v>
      </c>
      <c r="D7" s="22" t="s">
        <v>12</v>
      </c>
      <c r="E7" s="23" t="s">
        <v>13</v>
      </c>
      <c r="F7" s="23"/>
      <c r="G7" s="22" t="s">
        <v>14</v>
      </c>
      <c r="I7" s="39"/>
    </row>
    <row r="8" spans="1:12" ht="14.25" customHeight="1" thickBot="1" x14ac:dyDescent="0.25">
      <c r="A8" s="24" t="s">
        <v>15</v>
      </c>
      <c r="B8" s="33" t="s">
        <v>16</v>
      </c>
      <c r="C8" s="25" t="s">
        <v>16</v>
      </c>
      <c r="D8" s="25" t="s">
        <v>17</v>
      </c>
      <c r="E8" s="26" t="s">
        <v>18</v>
      </c>
      <c r="F8" s="26" t="s">
        <v>19</v>
      </c>
      <c r="G8" s="25" t="s">
        <v>18</v>
      </c>
      <c r="I8" s="39"/>
    </row>
    <row r="9" spans="1:12" ht="14.25" customHeight="1" x14ac:dyDescent="0.2">
      <c r="A9" s="21"/>
      <c r="B9" s="29"/>
      <c r="C9" s="29"/>
      <c r="D9" s="30"/>
      <c r="E9" s="28" t="e">
        <f t="shared" ref="E9:E22" si="0">D9/$D$22*100</f>
        <v>#DIV/0!</v>
      </c>
      <c r="F9" s="21"/>
      <c r="G9" s="30"/>
      <c r="I9" s="41"/>
      <c r="J9" s="40"/>
    </row>
    <row r="10" spans="1:12" ht="14.25" customHeight="1" x14ac:dyDescent="0.2">
      <c r="A10" s="21"/>
      <c r="B10" s="21"/>
      <c r="C10" s="21"/>
      <c r="D10" s="31">
        <f>B10-C10</f>
        <v>0</v>
      </c>
      <c r="E10" s="28" t="e">
        <f t="shared" si="0"/>
        <v>#DIV/0!</v>
      </c>
      <c r="F10" s="21"/>
      <c r="G10" s="28" t="e">
        <f t="shared" ref="G10:G20" si="1">G11+E10</f>
        <v>#DIV/0!</v>
      </c>
    </row>
    <row r="11" spans="1:12" ht="14.25" customHeight="1" x14ac:dyDescent="0.2">
      <c r="A11" s="21"/>
      <c r="B11" s="21"/>
      <c r="C11" s="21"/>
      <c r="D11" s="31">
        <f t="shared" ref="D11:D21" si="2">B11-C11</f>
        <v>0</v>
      </c>
      <c r="E11" s="28" t="e">
        <f t="shared" si="0"/>
        <v>#DIV/0!</v>
      </c>
      <c r="F11" s="21"/>
      <c r="G11" s="28" t="e">
        <f t="shared" si="1"/>
        <v>#DIV/0!</v>
      </c>
      <c r="K11" t="s">
        <v>20</v>
      </c>
    </row>
    <row r="12" spans="1:12" x14ac:dyDescent="0.2">
      <c r="A12" s="27">
        <v>2</v>
      </c>
      <c r="B12" s="28"/>
      <c r="C12" s="48"/>
      <c r="D12" s="34">
        <f t="shared" si="2"/>
        <v>0</v>
      </c>
      <c r="E12" s="28" t="e">
        <f t="shared" si="0"/>
        <v>#DIV/0!</v>
      </c>
      <c r="F12" s="21"/>
      <c r="G12" s="28" t="e">
        <f t="shared" si="1"/>
        <v>#DIV/0!</v>
      </c>
      <c r="K12" t="s">
        <v>21</v>
      </c>
    </row>
    <row r="13" spans="1:12" x14ac:dyDescent="0.2">
      <c r="A13" s="27">
        <v>1</v>
      </c>
      <c r="B13" s="28"/>
      <c r="C13" s="28"/>
      <c r="D13" s="34">
        <f t="shared" si="2"/>
        <v>0</v>
      </c>
      <c r="E13" s="28" t="e">
        <f t="shared" si="0"/>
        <v>#DIV/0!</v>
      </c>
      <c r="F13" s="27">
        <v>2</v>
      </c>
      <c r="G13" s="28" t="e">
        <f t="shared" si="1"/>
        <v>#DIV/0!</v>
      </c>
      <c r="I13" s="41"/>
      <c r="K13" s="40" t="s">
        <v>22</v>
      </c>
      <c r="L13" s="40"/>
    </row>
    <row r="14" spans="1:12" x14ac:dyDescent="0.2">
      <c r="A14" s="27">
        <v>0.6</v>
      </c>
      <c r="B14" s="28"/>
      <c r="C14" s="28"/>
      <c r="D14" s="34">
        <f t="shared" si="2"/>
        <v>0</v>
      </c>
      <c r="E14" s="28" t="e">
        <f t="shared" si="0"/>
        <v>#DIV/0!</v>
      </c>
      <c r="F14" s="27">
        <v>1</v>
      </c>
      <c r="G14" s="28" t="e">
        <f t="shared" si="1"/>
        <v>#DIV/0!</v>
      </c>
      <c r="I14" s="41"/>
      <c r="K14" t="s">
        <v>21</v>
      </c>
      <c r="L14" s="40">
        <f>L12-L13</f>
        <v>0</v>
      </c>
    </row>
    <row r="15" spans="1:12" x14ac:dyDescent="0.2">
      <c r="A15" s="27">
        <v>0.35499999999999998</v>
      </c>
      <c r="B15" s="28"/>
      <c r="C15" s="28"/>
      <c r="D15" s="34">
        <f t="shared" si="2"/>
        <v>0</v>
      </c>
      <c r="E15" s="28" t="e">
        <f t="shared" si="0"/>
        <v>#DIV/0!</v>
      </c>
      <c r="F15" s="27">
        <v>0.6</v>
      </c>
      <c r="G15" s="28" t="e">
        <f t="shared" si="1"/>
        <v>#DIV/0!</v>
      </c>
      <c r="I15" s="41"/>
      <c r="K15" s="42" t="s">
        <v>23</v>
      </c>
      <c r="L15" s="40"/>
    </row>
    <row r="16" spans="1:12" x14ac:dyDescent="0.2">
      <c r="A16" s="27">
        <v>0.25</v>
      </c>
      <c r="B16" s="28"/>
      <c r="C16" s="28"/>
      <c r="D16" s="34">
        <f t="shared" si="2"/>
        <v>0</v>
      </c>
      <c r="E16" s="28" t="e">
        <f t="shared" si="0"/>
        <v>#DIV/0!</v>
      </c>
      <c r="F16" s="27">
        <v>0.35499999999999998</v>
      </c>
      <c r="G16" s="28" t="e">
        <f t="shared" si="1"/>
        <v>#DIV/0!</v>
      </c>
      <c r="I16" s="41"/>
      <c r="K16" s="42" t="s">
        <v>24</v>
      </c>
      <c r="L16" s="40">
        <f>(L11-L14)+L15</f>
        <v>0</v>
      </c>
    </row>
    <row r="17" spans="1:12" x14ac:dyDescent="0.2">
      <c r="A17" s="27">
        <v>0.18</v>
      </c>
      <c r="B17" s="28"/>
      <c r="C17" s="28"/>
      <c r="D17" s="34">
        <f t="shared" si="2"/>
        <v>0</v>
      </c>
      <c r="E17" s="28" t="e">
        <f t="shared" si="0"/>
        <v>#DIV/0!</v>
      </c>
      <c r="F17" s="27">
        <v>0.25</v>
      </c>
      <c r="G17" s="28" t="e">
        <f t="shared" si="1"/>
        <v>#DIV/0!</v>
      </c>
      <c r="K17" s="42" t="s">
        <v>25</v>
      </c>
      <c r="L17" s="40">
        <f>C21</f>
        <v>0</v>
      </c>
    </row>
    <row r="18" spans="1:12" x14ac:dyDescent="0.2">
      <c r="A18" s="27">
        <v>0.125</v>
      </c>
      <c r="B18" s="28"/>
      <c r="C18" s="28"/>
      <c r="D18" s="34">
        <f t="shared" si="2"/>
        <v>0</v>
      </c>
      <c r="E18" s="28" t="e">
        <f t="shared" si="0"/>
        <v>#DIV/0!</v>
      </c>
      <c r="F18" s="27">
        <v>0.18</v>
      </c>
      <c r="G18" s="28" t="e">
        <f t="shared" si="1"/>
        <v>#DIV/0!</v>
      </c>
      <c r="K18" s="42" t="s">
        <v>26</v>
      </c>
      <c r="L18" s="40">
        <f>L16+L17</f>
        <v>0</v>
      </c>
    </row>
    <row r="19" spans="1:12" x14ac:dyDescent="0.2">
      <c r="A19" s="27">
        <v>0.09</v>
      </c>
      <c r="B19" s="28"/>
      <c r="C19" s="28"/>
      <c r="D19" s="34">
        <f t="shared" si="2"/>
        <v>0</v>
      </c>
      <c r="E19" s="28" t="e">
        <f t="shared" si="0"/>
        <v>#DIV/0!</v>
      </c>
      <c r="F19" s="27">
        <v>0.125</v>
      </c>
      <c r="G19" s="28" t="e">
        <f t="shared" si="1"/>
        <v>#DIV/0!</v>
      </c>
    </row>
    <row r="20" spans="1:12" x14ac:dyDescent="0.2">
      <c r="A20" s="27">
        <v>6.3E-2</v>
      </c>
      <c r="B20" s="28"/>
      <c r="C20" s="28"/>
      <c r="D20" s="34">
        <f t="shared" si="2"/>
        <v>0</v>
      </c>
      <c r="E20" s="28" t="e">
        <f t="shared" si="0"/>
        <v>#DIV/0!</v>
      </c>
      <c r="F20" s="27">
        <v>0.09</v>
      </c>
      <c r="G20" s="28" t="e">
        <f t="shared" si="1"/>
        <v>#DIV/0!</v>
      </c>
    </row>
    <row r="21" spans="1:12" x14ac:dyDescent="0.2">
      <c r="A21" s="2" t="s">
        <v>25</v>
      </c>
      <c r="B21" s="28"/>
      <c r="C21" s="28"/>
      <c r="D21" s="34">
        <f t="shared" si="2"/>
        <v>0</v>
      </c>
      <c r="E21" s="28" t="e">
        <f t="shared" si="0"/>
        <v>#DIV/0!</v>
      </c>
      <c r="F21" s="27">
        <v>6.3E-2</v>
      </c>
      <c r="G21" s="28" t="e">
        <f>E21</f>
        <v>#DIV/0!</v>
      </c>
    </row>
    <row r="22" spans="1:12" x14ac:dyDescent="0.2">
      <c r="A22" s="2" t="s">
        <v>27</v>
      </c>
      <c r="B22" s="2"/>
      <c r="C22" s="21"/>
      <c r="D22" s="36">
        <f>SUM(D9:D21)</f>
        <v>0</v>
      </c>
      <c r="E22" s="28" t="e">
        <f t="shared" si="0"/>
        <v>#DIV/0!</v>
      </c>
      <c r="F22" s="21"/>
      <c r="G22" s="28"/>
    </row>
    <row r="47" spans="1:5" x14ac:dyDescent="0.2">
      <c r="A47" t="s">
        <v>28</v>
      </c>
      <c r="D47" s="2" t="s">
        <v>29</v>
      </c>
      <c r="E47" s="14">
        <v>0.125</v>
      </c>
    </row>
    <row r="48" spans="1:5" x14ac:dyDescent="0.2">
      <c r="A48" t="s">
        <v>30</v>
      </c>
      <c r="D48" s="2" t="s">
        <v>31</v>
      </c>
      <c r="E48" s="14">
        <v>0.15</v>
      </c>
    </row>
    <row r="49" spans="1:5" x14ac:dyDescent="0.2">
      <c r="A49" t="s">
        <v>32</v>
      </c>
      <c r="D49" s="2" t="s">
        <v>33</v>
      </c>
      <c r="E49" s="14">
        <v>7.4999999999999997E-2</v>
      </c>
    </row>
    <row r="50" spans="1:5" x14ac:dyDescent="0.2">
      <c r="A50" t="s">
        <v>34</v>
      </c>
      <c r="C50" t="s">
        <v>35</v>
      </c>
      <c r="E50" s="18">
        <f>E48/E49</f>
        <v>2</v>
      </c>
    </row>
    <row r="51" spans="1:5" x14ac:dyDescent="0.2">
      <c r="A51" t="s">
        <v>36</v>
      </c>
      <c r="C51" t="s">
        <v>37</v>
      </c>
      <c r="E51" s="18">
        <f>SQRT(E52/E53)</f>
        <v>1.3416407864998738</v>
      </c>
    </row>
    <row r="52" spans="1:5" x14ac:dyDescent="0.2">
      <c r="A52" t="s">
        <v>38</v>
      </c>
      <c r="D52" s="2" t="s">
        <v>39</v>
      </c>
      <c r="E52" s="14">
        <v>0.18</v>
      </c>
    </row>
    <row r="53" spans="1:5" x14ac:dyDescent="0.2">
      <c r="D53" s="2" t="s">
        <v>40</v>
      </c>
      <c r="E53" s="14">
        <v>0.1</v>
      </c>
    </row>
  </sheetData>
  <phoneticPr fontId="3" type="noConversion"/>
  <pageMargins left="0.39370078740157483" right="0.39370078740157483" top="0.98425196850393704" bottom="0.98425196850393704" header="0.51181102362204722" footer="0.51181102362204722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414A3-C572-4071-8F8C-2001C88B3F53}">
  <dimension ref="A1:G53"/>
  <sheetViews>
    <sheetView zoomScale="120" zoomScaleNormal="120" workbookViewId="0">
      <selection activeCell="I21" sqref="I21"/>
    </sheetView>
  </sheetViews>
  <sheetFormatPr defaultRowHeight="12.75" x14ac:dyDescent="0.2"/>
  <cols>
    <col min="1" max="1" width="11.85546875" customWidth="1"/>
    <col min="2" max="2" width="13.7109375" customWidth="1"/>
    <col min="3" max="3" width="10" customWidth="1"/>
    <col min="4" max="4" width="10.7109375" customWidth="1"/>
    <col min="5" max="5" width="10.85546875" customWidth="1"/>
    <col min="6" max="6" width="10.5703125" customWidth="1"/>
    <col min="7" max="7" width="11.140625" bestFit="1" customWidth="1"/>
  </cols>
  <sheetData>
    <row r="1" spans="1:7" ht="18" x14ac:dyDescent="0.25">
      <c r="A1" s="6" t="s">
        <v>41</v>
      </c>
    </row>
    <row r="2" spans="1:7" ht="15.75" x14ac:dyDescent="0.25">
      <c r="A2" s="1"/>
    </row>
    <row r="3" spans="1:7" ht="13.5" thickBot="1" x14ac:dyDescent="0.25">
      <c r="A3" s="3" t="s">
        <v>42</v>
      </c>
      <c r="B3" s="4"/>
      <c r="C3" s="4"/>
      <c r="D3" s="4"/>
      <c r="E3" s="4"/>
    </row>
    <row r="4" spans="1:7" ht="13.5" thickBot="1" x14ac:dyDescent="0.25">
      <c r="A4" s="7" t="s">
        <v>43</v>
      </c>
      <c r="B4" s="8" t="s">
        <v>44</v>
      </c>
      <c r="C4" s="45" t="s">
        <v>45</v>
      </c>
      <c r="D4" s="8" t="s">
        <v>46</v>
      </c>
      <c r="E4" s="46" t="s">
        <v>5</v>
      </c>
    </row>
    <row r="5" spans="1:7" ht="13.5" thickBot="1" x14ac:dyDescent="0.25">
      <c r="A5" s="7" t="s">
        <v>47</v>
      </c>
      <c r="B5" s="11"/>
      <c r="C5" s="15">
        <v>341.73</v>
      </c>
      <c r="D5" s="10" t="s">
        <v>7</v>
      </c>
      <c r="E5" s="16"/>
    </row>
    <row r="6" spans="1:7" ht="13.5" thickBot="1" x14ac:dyDescent="0.25">
      <c r="A6" s="12" t="s">
        <v>48</v>
      </c>
      <c r="B6" s="19">
        <f>100-(D22/C5*100)</f>
        <v>-1.6036051853802746</v>
      </c>
      <c r="C6" s="5"/>
      <c r="D6" s="13"/>
      <c r="E6" s="5"/>
      <c r="F6" s="9"/>
    </row>
    <row r="7" spans="1:7" x14ac:dyDescent="0.2">
      <c r="A7" s="17" t="s">
        <v>49</v>
      </c>
      <c r="B7" s="32" t="s">
        <v>50</v>
      </c>
      <c r="C7" s="22" t="s">
        <v>51</v>
      </c>
      <c r="D7" s="22" t="s">
        <v>52</v>
      </c>
      <c r="E7" s="23" t="s">
        <v>53</v>
      </c>
      <c r="F7" s="23" t="s">
        <v>54</v>
      </c>
      <c r="G7" s="22" t="s">
        <v>55</v>
      </c>
    </row>
    <row r="8" spans="1:7" ht="13.5" thickBot="1" x14ac:dyDescent="0.25">
      <c r="A8" s="24" t="s">
        <v>15</v>
      </c>
      <c r="B8" s="33" t="s">
        <v>16</v>
      </c>
      <c r="C8" s="25" t="s">
        <v>16</v>
      </c>
      <c r="D8" s="25" t="s">
        <v>56</v>
      </c>
      <c r="E8" s="26" t="s">
        <v>57</v>
      </c>
      <c r="F8" s="26"/>
      <c r="G8" s="25" t="s">
        <v>58</v>
      </c>
    </row>
    <row r="9" spans="1:7" x14ac:dyDescent="0.2">
      <c r="A9" s="21"/>
      <c r="B9" s="29"/>
      <c r="C9" s="29"/>
      <c r="D9" s="30"/>
      <c r="E9" s="28">
        <f t="shared" ref="E9:E22" si="0">D9/$D$22*100</f>
        <v>0</v>
      </c>
      <c r="F9" s="21"/>
      <c r="G9" s="30"/>
    </row>
    <row r="10" spans="1:7" x14ac:dyDescent="0.2">
      <c r="A10" s="21"/>
      <c r="B10" s="21"/>
      <c r="C10" s="21"/>
      <c r="D10" s="31">
        <f>B10-C10</f>
        <v>0</v>
      </c>
      <c r="E10" s="28">
        <f t="shared" si="0"/>
        <v>0</v>
      </c>
      <c r="F10" s="21"/>
      <c r="G10" s="28">
        <f t="shared" ref="G10:G20" si="1">G11+E10</f>
        <v>100</v>
      </c>
    </row>
    <row r="11" spans="1:7" x14ac:dyDescent="0.2">
      <c r="A11" s="21"/>
      <c r="B11" s="21"/>
      <c r="C11" s="21"/>
      <c r="D11" s="31">
        <f t="shared" ref="D11:D21" si="2">B11-C11</f>
        <v>0</v>
      </c>
      <c r="E11" s="28">
        <f t="shared" si="0"/>
        <v>0</v>
      </c>
      <c r="F11" s="21"/>
      <c r="G11" s="28">
        <f t="shared" si="1"/>
        <v>100</v>
      </c>
    </row>
    <row r="12" spans="1:7" x14ac:dyDescent="0.2">
      <c r="A12" s="27">
        <v>2</v>
      </c>
      <c r="B12" s="21">
        <v>381.26</v>
      </c>
      <c r="C12" s="21">
        <v>343.59</v>
      </c>
      <c r="D12" s="34">
        <f t="shared" si="2"/>
        <v>37.670000000000016</v>
      </c>
      <c r="E12" s="28">
        <f t="shared" si="0"/>
        <v>10.849341896834771</v>
      </c>
      <c r="F12" s="21"/>
      <c r="G12" s="28">
        <f t="shared" si="1"/>
        <v>100</v>
      </c>
    </row>
    <row r="13" spans="1:7" x14ac:dyDescent="0.2">
      <c r="A13" s="27">
        <v>1</v>
      </c>
      <c r="B13" s="21">
        <v>370.47</v>
      </c>
      <c r="C13" s="28">
        <v>308.41000000000003</v>
      </c>
      <c r="D13" s="34">
        <f t="shared" si="2"/>
        <v>62.06</v>
      </c>
      <c r="E13" s="28">
        <f t="shared" si="0"/>
        <v>17.873909161602487</v>
      </c>
      <c r="F13" s="27">
        <v>2</v>
      </c>
      <c r="G13" s="28">
        <f t="shared" si="1"/>
        <v>89.150658103165227</v>
      </c>
    </row>
    <row r="14" spans="1:7" x14ac:dyDescent="0.2">
      <c r="A14" s="27">
        <v>0.5</v>
      </c>
      <c r="B14" s="21">
        <v>363.29</v>
      </c>
      <c r="C14" s="21">
        <v>274.22000000000003</v>
      </c>
      <c r="D14" s="34">
        <f t="shared" si="2"/>
        <v>89.07</v>
      </c>
      <c r="E14" s="28">
        <f t="shared" si="0"/>
        <v>25.653062987817165</v>
      </c>
      <c r="F14" s="27">
        <v>1</v>
      </c>
      <c r="G14" s="28">
        <f t="shared" si="1"/>
        <v>71.276748941562744</v>
      </c>
    </row>
    <row r="15" spans="1:7" x14ac:dyDescent="0.2">
      <c r="A15" s="27">
        <v>0.35499999999999998</v>
      </c>
      <c r="B15" s="21">
        <v>321.56</v>
      </c>
      <c r="C15" s="21">
        <v>282.95999999999998</v>
      </c>
      <c r="D15" s="34">
        <f t="shared" si="2"/>
        <v>38.600000000000023</v>
      </c>
      <c r="E15" s="28">
        <f t="shared" si="0"/>
        <v>11.11719132513465</v>
      </c>
      <c r="F15" s="27">
        <v>0.5</v>
      </c>
      <c r="G15" s="28">
        <f t="shared" si="1"/>
        <v>45.623685953745579</v>
      </c>
    </row>
    <row r="16" spans="1:7" x14ac:dyDescent="0.2">
      <c r="A16" s="27">
        <v>0.25</v>
      </c>
      <c r="B16" s="21">
        <v>279.93</v>
      </c>
      <c r="C16" s="21">
        <v>247.07</v>
      </c>
      <c r="D16" s="34">
        <f t="shared" si="2"/>
        <v>32.860000000000014</v>
      </c>
      <c r="E16" s="28">
        <f t="shared" si="0"/>
        <v>9.4640131332622932</v>
      </c>
      <c r="F16" s="27">
        <v>0.35499999999999998</v>
      </c>
      <c r="G16" s="28">
        <f t="shared" si="1"/>
        <v>34.50649462861093</v>
      </c>
    </row>
    <row r="17" spans="1:7" x14ac:dyDescent="0.2">
      <c r="A17" s="27">
        <v>0.18</v>
      </c>
      <c r="B17" s="21">
        <v>270.79000000000002</v>
      </c>
      <c r="C17" s="21">
        <v>246.46</v>
      </c>
      <c r="D17" s="34">
        <f t="shared" si="2"/>
        <v>24.330000000000013</v>
      </c>
      <c r="E17" s="28">
        <f t="shared" si="0"/>
        <v>7.0072866564903107</v>
      </c>
      <c r="F17" s="27">
        <v>0.25</v>
      </c>
      <c r="G17" s="28">
        <f t="shared" si="1"/>
        <v>25.042481495348639</v>
      </c>
    </row>
    <row r="18" spans="1:7" x14ac:dyDescent="0.2">
      <c r="A18" s="27">
        <v>0.125</v>
      </c>
      <c r="B18" s="28">
        <v>270.87</v>
      </c>
      <c r="C18" s="21">
        <v>247.49</v>
      </c>
      <c r="D18" s="34">
        <f t="shared" si="2"/>
        <v>23.379999999999995</v>
      </c>
      <c r="E18" s="28">
        <f t="shared" si="0"/>
        <v>6.7336770254312937</v>
      </c>
      <c r="F18" s="27">
        <v>0.18</v>
      </c>
      <c r="G18" s="28">
        <f t="shared" si="1"/>
        <v>18.035194838858327</v>
      </c>
    </row>
    <row r="19" spans="1:7" x14ac:dyDescent="0.2">
      <c r="A19" s="27">
        <v>0.9</v>
      </c>
      <c r="B19" s="28">
        <v>272.64999999999998</v>
      </c>
      <c r="C19" s="21">
        <v>251.88</v>
      </c>
      <c r="D19" s="34">
        <f t="shared" si="2"/>
        <v>20.769999999999982</v>
      </c>
      <c r="E19" s="28">
        <f t="shared" si="0"/>
        <v>5.9819705653638948</v>
      </c>
      <c r="F19" s="27">
        <v>0.125</v>
      </c>
      <c r="G19" s="28">
        <f t="shared" si="1"/>
        <v>11.301517813427035</v>
      </c>
    </row>
    <row r="20" spans="1:7" x14ac:dyDescent="0.2">
      <c r="A20" s="27">
        <v>6.3E-2</v>
      </c>
      <c r="B20" s="21">
        <v>243.63</v>
      </c>
      <c r="C20" s="21">
        <v>234.81</v>
      </c>
      <c r="D20" s="34">
        <f t="shared" si="2"/>
        <v>8.8199999999999932</v>
      </c>
      <c r="E20" s="28">
        <f t="shared" si="0"/>
        <v>2.5402494167794685</v>
      </c>
      <c r="F20" s="27">
        <v>0.09</v>
      </c>
      <c r="G20" s="28">
        <f t="shared" si="1"/>
        <v>5.3195472480631398</v>
      </c>
    </row>
    <row r="21" spans="1:7" x14ac:dyDescent="0.2">
      <c r="A21" s="2" t="s">
        <v>59</v>
      </c>
      <c r="B21" s="21">
        <v>345.61</v>
      </c>
      <c r="C21" s="21">
        <v>335.96</v>
      </c>
      <c r="D21" s="34">
        <f t="shared" si="2"/>
        <v>9.6500000000000341</v>
      </c>
      <c r="E21" s="28">
        <f t="shared" si="0"/>
        <v>2.7792978312836709</v>
      </c>
      <c r="F21" s="27">
        <v>6.3E-2</v>
      </c>
      <c r="G21" s="28">
        <f>E21</f>
        <v>2.7792978312836709</v>
      </c>
    </row>
    <row r="22" spans="1:7" x14ac:dyDescent="0.2">
      <c r="A22" s="2" t="s">
        <v>27</v>
      </c>
      <c r="B22" s="2"/>
      <c r="C22" s="21"/>
      <c r="D22" s="28">
        <f>SUM(D9:D21)</f>
        <v>347.21000000000004</v>
      </c>
      <c r="E22" s="28">
        <f t="shared" si="0"/>
        <v>100</v>
      </c>
      <c r="F22" s="21"/>
      <c r="G22" s="28"/>
    </row>
    <row r="47" spans="1:5" x14ac:dyDescent="0.2">
      <c r="A47" t="s">
        <v>60</v>
      </c>
      <c r="D47" s="2" t="s">
        <v>29</v>
      </c>
      <c r="E47" s="14">
        <v>0.125</v>
      </c>
    </row>
    <row r="48" spans="1:5" x14ac:dyDescent="0.2">
      <c r="A48" t="s">
        <v>61</v>
      </c>
      <c r="D48" s="2" t="s">
        <v>31</v>
      </c>
      <c r="E48" s="14">
        <v>0.15</v>
      </c>
    </row>
    <row r="49" spans="1:5" x14ac:dyDescent="0.2">
      <c r="A49" t="s">
        <v>62</v>
      </c>
      <c r="D49" s="2" t="s">
        <v>33</v>
      </c>
      <c r="E49" s="14">
        <v>7.4999999999999997E-2</v>
      </c>
    </row>
    <row r="50" spans="1:5" x14ac:dyDescent="0.2">
      <c r="A50" t="s">
        <v>63</v>
      </c>
      <c r="C50" t="s">
        <v>35</v>
      </c>
      <c r="E50" s="18">
        <f>E48/E49</f>
        <v>2</v>
      </c>
    </row>
    <row r="51" spans="1:5" x14ac:dyDescent="0.2">
      <c r="A51" t="s">
        <v>64</v>
      </c>
      <c r="C51" t="s">
        <v>65</v>
      </c>
      <c r="E51" s="18">
        <f>SQRT(E52/E53)</f>
        <v>1.3416407864998738</v>
      </c>
    </row>
    <row r="52" spans="1:5" x14ac:dyDescent="0.2">
      <c r="A52" t="s">
        <v>66</v>
      </c>
      <c r="D52" s="2" t="s">
        <v>39</v>
      </c>
      <c r="E52" s="14">
        <v>0.18</v>
      </c>
    </row>
    <row r="53" spans="1:5" x14ac:dyDescent="0.2">
      <c r="D53" s="2" t="s">
        <v>40</v>
      </c>
      <c r="E53" s="14">
        <v>0.1</v>
      </c>
    </row>
  </sheetData>
  <phoneticPr fontId="3" type="noConversion"/>
  <pageMargins left="0.75" right="0.75" top="1" bottom="1" header="0.5" footer="0.5"/>
  <pageSetup paperSize="9" orientation="portrait" r:id="rId1"/>
  <headerFooter alignWithMargins="0">
    <oddHeader>&amp;A</oddHeader>
    <oddFooter>Side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5BBED-F1A4-4E48-AFC8-C5D78304FBD6}">
  <dimension ref="A1:J137"/>
  <sheetViews>
    <sheetView tabSelected="1" zoomScale="93" workbookViewId="0">
      <selection activeCell="I24" sqref="I24"/>
    </sheetView>
  </sheetViews>
  <sheetFormatPr defaultRowHeight="12.75" x14ac:dyDescent="0.2"/>
  <cols>
    <col min="1" max="1" width="14" customWidth="1"/>
    <col min="2" max="3" width="13.85546875" customWidth="1"/>
    <col min="4" max="4" width="14.28515625" bestFit="1" customWidth="1"/>
    <col min="5" max="6" width="10.7109375" customWidth="1"/>
    <col min="7" max="7" width="15.85546875" customWidth="1"/>
    <col min="9" max="9" width="18.42578125" bestFit="1" customWidth="1"/>
  </cols>
  <sheetData>
    <row r="1" spans="1:10" ht="18" x14ac:dyDescent="0.25">
      <c r="A1" s="6" t="s">
        <v>0</v>
      </c>
      <c r="B1" s="6"/>
    </row>
    <row r="2" spans="1:10" ht="15.75" x14ac:dyDescent="0.25">
      <c r="A2" s="1"/>
    </row>
    <row r="3" spans="1:10" ht="13.5" thickBot="1" x14ac:dyDescent="0.25">
      <c r="A3" s="3" t="s">
        <v>1</v>
      </c>
      <c r="B3" s="38">
        <v>101</v>
      </c>
      <c r="C3" s="4" t="s">
        <v>67</v>
      </c>
      <c r="D3" s="4"/>
      <c r="E3" s="4"/>
    </row>
    <row r="4" spans="1:10" ht="13.5" thickBot="1" x14ac:dyDescent="0.25">
      <c r="A4" s="7" t="s">
        <v>2</v>
      </c>
      <c r="B4" s="43"/>
      <c r="C4" s="45" t="s">
        <v>3</v>
      </c>
      <c r="D4" s="35" t="s">
        <v>68</v>
      </c>
      <c r="E4" s="46" t="s">
        <v>5</v>
      </c>
      <c r="G4" s="37"/>
    </row>
    <row r="5" spans="1:10" ht="13.5" thickBot="1" x14ac:dyDescent="0.25">
      <c r="A5" s="7" t="s">
        <v>6</v>
      </c>
      <c r="B5" s="47"/>
      <c r="C5" s="44">
        <f>J11-J13</f>
        <v>29.45</v>
      </c>
      <c r="D5" s="10" t="s">
        <v>7</v>
      </c>
      <c r="E5" s="16"/>
      <c r="G5" s="37"/>
    </row>
    <row r="6" spans="1:10" ht="13.5" thickBot="1" x14ac:dyDescent="0.25">
      <c r="A6" s="12" t="s">
        <v>8</v>
      </c>
      <c r="B6" s="19">
        <f>100-(D22/C5*100)</f>
        <v>-22.750424448217203</v>
      </c>
      <c r="C6" s="5">
        <v>0</v>
      </c>
      <c r="D6" s="13"/>
      <c r="E6" s="5"/>
      <c r="F6" s="9"/>
    </row>
    <row r="7" spans="1:10" ht="14.25" customHeight="1" x14ac:dyDescent="0.2">
      <c r="A7" s="20" t="s">
        <v>9</v>
      </c>
      <c r="B7" s="32" t="s">
        <v>10</v>
      </c>
      <c r="C7" s="22" t="s">
        <v>11</v>
      </c>
      <c r="D7" s="22" t="s">
        <v>12</v>
      </c>
      <c r="E7" s="23" t="s">
        <v>13</v>
      </c>
      <c r="F7" s="23"/>
      <c r="G7" s="22" t="s">
        <v>14</v>
      </c>
    </row>
    <row r="8" spans="1:10" ht="14.25" customHeight="1" thickBot="1" x14ac:dyDescent="0.25">
      <c r="A8" s="24" t="s">
        <v>15</v>
      </c>
      <c r="B8" s="33" t="s">
        <v>16</v>
      </c>
      <c r="C8" s="25" t="s">
        <v>16</v>
      </c>
      <c r="D8" s="25" t="s">
        <v>17</v>
      </c>
      <c r="E8" s="26" t="s">
        <v>18</v>
      </c>
      <c r="F8" s="26" t="s">
        <v>19</v>
      </c>
      <c r="G8" s="25" t="s">
        <v>18</v>
      </c>
    </row>
    <row r="9" spans="1:10" ht="14.25" customHeight="1" x14ac:dyDescent="0.2">
      <c r="A9" s="21"/>
      <c r="B9" s="29"/>
      <c r="C9" s="29"/>
      <c r="D9" s="30"/>
      <c r="E9" s="28">
        <f t="shared" ref="E9:E22" si="0">D9/$D$22*100</f>
        <v>0</v>
      </c>
      <c r="F9" s="21"/>
      <c r="G9" s="30"/>
    </row>
    <row r="10" spans="1:10" ht="14.25" customHeight="1" x14ac:dyDescent="0.2">
      <c r="A10" s="21"/>
      <c r="B10" s="21"/>
      <c r="C10" s="21"/>
      <c r="D10" s="31">
        <f>B10-C10</f>
        <v>0</v>
      </c>
      <c r="E10" s="28">
        <f t="shared" si="0"/>
        <v>0</v>
      </c>
      <c r="F10" s="21"/>
      <c r="G10" s="28">
        <f t="shared" ref="G10:G20" si="1">G11+E10</f>
        <v>100</v>
      </c>
    </row>
    <row r="11" spans="1:10" ht="14.25" customHeight="1" x14ac:dyDescent="0.2">
      <c r="A11" s="21"/>
      <c r="B11" s="21"/>
      <c r="C11" s="21"/>
      <c r="D11" s="31">
        <f t="shared" ref="D11:D20" si="2">B11-C11</f>
        <v>0</v>
      </c>
      <c r="E11" s="28">
        <f t="shared" si="0"/>
        <v>0</v>
      </c>
      <c r="F11" s="21"/>
      <c r="G11" s="28">
        <f t="shared" si="1"/>
        <v>100</v>
      </c>
      <c r="I11" s="41" t="s">
        <v>20</v>
      </c>
      <c r="J11">
        <v>35.65</v>
      </c>
    </row>
    <row r="12" spans="1:10" x14ac:dyDescent="0.2">
      <c r="A12" s="27">
        <v>2</v>
      </c>
      <c r="B12" s="28">
        <v>136.19999999999999</v>
      </c>
      <c r="C12" s="48">
        <v>136</v>
      </c>
      <c r="D12" s="34">
        <f t="shared" si="2"/>
        <v>0.19999999999998863</v>
      </c>
      <c r="E12" s="28">
        <f t="shared" si="0"/>
        <v>0.55325034578143528</v>
      </c>
      <c r="F12" s="21">
        <v>6.3</v>
      </c>
      <c r="G12" s="28">
        <f t="shared" si="1"/>
        <v>100</v>
      </c>
      <c r="I12" t="s">
        <v>21</v>
      </c>
      <c r="J12">
        <v>36.700000000000003</v>
      </c>
    </row>
    <row r="13" spans="1:10" x14ac:dyDescent="0.2">
      <c r="A13" s="27">
        <v>1</v>
      </c>
      <c r="B13" s="28">
        <v>125.1</v>
      </c>
      <c r="C13" s="28">
        <v>118.8</v>
      </c>
      <c r="D13" s="34">
        <f t="shared" si="2"/>
        <v>6.2999999999999972</v>
      </c>
      <c r="E13" s="28">
        <f t="shared" si="0"/>
        <v>17.427385892116192</v>
      </c>
      <c r="F13" s="27">
        <v>2</v>
      </c>
      <c r="G13" s="28">
        <f t="shared" si="1"/>
        <v>99.446749654218564</v>
      </c>
      <c r="I13" s="40" t="s">
        <v>22</v>
      </c>
      <c r="J13" s="40">
        <v>6.2</v>
      </c>
    </row>
    <row r="14" spans="1:10" x14ac:dyDescent="0.2">
      <c r="A14" s="27">
        <v>0.6</v>
      </c>
      <c r="B14" s="28">
        <v>124.6</v>
      </c>
      <c r="C14" s="28">
        <v>117.3</v>
      </c>
      <c r="D14" s="34">
        <f t="shared" si="2"/>
        <v>7.2999999999999972</v>
      </c>
      <c r="E14" s="28">
        <f t="shared" si="0"/>
        <v>20.193637621023523</v>
      </c>
      <c r="F14" s="27">
        <v>1</v>
      </c>
      <c r="G14" s="28">
        <f t="shared" si="1"/>
        <v>82.019363762102373</v>
      </c>
      <c r="I14" t="s">
        <v>21</v>
      </c>
      <c r="J14" s="40">
        <f>J12-J13</f>
        <v>30.500000000000004</v>
      </c>
    </row>
    <row r="15" spans="1:10" x14ac:dyDescent="0.2">
      <c r="A15" s="27">
        <v>0.35499999999999998</v>
      </c>
      <c r="B15" s="28">
        <v>113</v>
      </c>
      <c r="C15" s="28">
        <v>107</v>
      </c>
      <c r="D15" s="34">
        <f t="shared" si="2"/>
        <v>6</v>
      </c>
      <c r="E15" s="28">
        <f t="shared" si="0"/>
        <v>16.597510373443999</v>
      </c>
      <c r="F15" s="27">
        <v>0.6</v>
      </c>
      <c r="G15" s="28">
        <f t="shared" si="1"/>
        <v>61.825726141078846</v>
      </c>
      <c r="I15" s="42" t="s">
        <v>23</v>
      </c>
      <c r="J15" s="40">
        <f>B21-C21</f>
        <v>0.5</v>
      </c>
    </row>
    <row r="16" spans="1:10" x14ac:dyDescent="0.2">
      <c r="A16" s="27">
        <v>0.25</v>
      </c>
      <c r="B16" s="28">
        <v>108.5</v>
      </c>
      <c r="C16" s="28">
        <v>105.6</v>
      </c>
      <c r="D16" s="34">
        <f t="shared" si="2"/>
        <v>2.9000000000000057</v>
      </c>
      <c r="E16" s="28">
        <f t="shared" si="0"/>
        <v>8.0221300138312834</v>
      </c>
      <c r="F16" s="27">
        <v>0.35499999999999998</v>
      </c>
      <c r="G16" s="28">
        <f t="shared" si="1"/>
        <v>45.22821576763485</v>
      </c>
      <c r="I16" s="42" t="s">
        <v>24</v>
      </c>
      <c r="J16" s="40">
        <f>(J11-J14)+J15</f>
        <v>5.649999999999995</v>
      </c>
    </row>
    <row r="17" spans="1:10" x14ac:dyDescent="0.2">
      <c r="A17" s="27">
        <v>0.18</v>
      </c>
      <c r="B17" s="28">
        <v>106.1</v>
      </c>
      <c r="C17" s="28">
        <v>104.3</v>
      </c>
      <c r="D17" s="34">
        <f t="shared" si="2"/>
        <v>1.7999999999999972</v>
      </c>
      <c r="E17" s="28">
        <f t="shared" si="0"/>
        <v>4.9792531120331915</v>
      </c>
      <c r="F17" s="27">
        <v>0.25</v>
      </c>
      <c r="G17" s="28">
        <f t="shared" si="1"/>
        <v>37.206085753803571</v>
      </c>
      <c r="I17" s="42" t="s">
        <v>25</v>
      </c>
      <c r="J17" s="40">
        <f>C21</f>
        <v>76.7</v>
      </c>
    </row>
    <row r="18" spans="1:10" x14ac:dyDescent="0.2">
      <c r="A18" s="27">
        <v>0.125</v>
      </c>
      <c r="B18" s="28">
        <v>106.1</v>
      </c>
      <c r="C18" s="28">
        <v>103.5</v>
      </c>
      <c r="D18" s="34">
        <f t="shared" si="2"/>
        <v>2.5999999999999943</v>
      </c>
      <c r="E18" s="28">
        <f t="shared" si="0"/>
        <v>7.1922544951590508</v>
      </c>
      <c r="F18" s="27">
        <v>0.18</v>
      </c>
      <c r="G18" s="28">
        <f t="shared" si="1"/>
        <v>32.226832641770379</v>
      </c>
      <c r="I18" s="42" t="s">
        <v>26</v>
      </c>
      <c r="J18" s="40">
        <f>J16+J17</f>
        <v>82.35</v>
      </c>
    </row>
    <row r="19" spans="1:10" x14ac:dyDescent="0.2">
      <c r="A19" s="27">
        <v>0.09</v>
      </c>
      <c r="B19" s="28">
        <v>105.8</v>
      </c>
      <c r="C19" s="28">
        <v>104.4</v>
      </c>
      <c r="D19" s="34">
        <f t="shared" si="2"/>
        <v>1.3999999999999915</v>
      </c>
      <c r="E19" s="28">
        <f t="shared" si="0"/>
        <v>3.8727524204702437</v>
      </c>
      <c r="F19" s="27">
        <v>0.125</v>
      </c>
      <c r="G19" s="28">
        <f t="shared" si="1"/>
        <v>25.034578146611331</v>
      </c>
    </row>
    <row r="20" spans="1:10" x14ac:dyDescent="0.2">
      <c r="A20" s="27">
        <v>6.3E-2</v>
      </c>
      <c r="B20" s="28">
        <v>105.6</v>
      </c>
      <c r="C20" s="28">
        <v>104.1</v>
      </c>
      <c r="D20" s="34">
        <f t="shared" si="2"/>
        <v>1.5</v>
      </c>
      <c r="E20" s="28">
        <f t="shared" si="0"/>
        <v>4.1493775933609998</v>
      </c>
      <c r="F20" s="27">
        <v>0.09</v>
      </c>
      <c r="G20" s="28">
        <f t="shared" si="1"/>
        <v>21.161825726141085</v>
      </c>
    </row>
    <row r="21" spans="1:10" x14ac:dyDescent="0.2">
      <c r="A21" s="2" t="s">
        <v>25</v>
      </c>
      <c r="B21" s="28">
        <v>77.2</v>
      </c>
      <c r="C21" s="28">
        <v>76.7</v>
      </c>
      <c r="D21" s="34">
        <f>(B21-C21)+J16</f>
        <v>6.149999999999995</v>
      </c>
      <c r="E21" s="28">
        <f t="shared" si="0"/>
        <v>17.012448132780086</v>
      </c>
      <c r="F21" s="27">
        <v>6.3E-2</v>
      </c>
      <c r="G21" s="28">
        <f>E21</f>
        <v>17.012448132780086</v>
      </c>
    </row>
    <row r="22" spans="1:10" x14ac:dyDescent="0.2">
      <c r="A22" s="2" t="s">
        <v>27</v>
      </c>
      <c r="B22" s="2"/>
      <c r="C22" s="21"/>
      <c r="D22" s="36">
        <f>SUM(D9:D21)</f>
        <v>36.149999999999963</v>
      </c>
      <c r="E22" s="28">
        <f t="shared" si="0"/>
        <v>100</v>
      </c>
      <c r="F22" s="21"/>
      <c r="G22" s="28"/>
    </row>
    <row r="47" spans="1:5" x14ac:dyDescent="0.2">
      <c r="A47" t="s">
        <v>28</v>
      </c>
      <c r="D47" s="2" t="s">
        <v>29</v>
      </c>
      <c r="E47" s="14">
        <v>0.125</v>
      </c>
    </row>
    <row r="48" spans="1:5" x14ac:dyDescent="0.2">
      <c r="A48" t="s">
        <v>30</v>
      </c>
      <c r="D48" s="2" t="s">
        <v>31</v>
      </c>
      <c r="E48" s="14">
        <v>0.15</v>
      </c>
    </row>
    <row r="49" spans="1:5" x14ac:dyDescent="0.2">
      <c r="A49" t="s">
        <v>32</v>
      </c>
      <c r="D49" s="2" t="s">
        <v>33</v>
      </c>
      <c r="E49" s="14">
        <v>7.4999999999999997E-2</v>
      </c>
    </row>
    <row r="50" spans="1:5" x14ac:dyDescent="0.2">
      <c r="A50" t="s">
        <v>34</v>
      </c>
      <c r="C50" t="s">
        <v>35</v>
      </c>
      <c r="E50" s="18">
        <f>E48/E49</f>
        <v>2</v>
      </c>
    </row>
    <row r="51" spans="1:5" x14ac:dyDescent="0.2">
      <c r="A51" t="s">
        <v>36</v>
      </c>
      <c r="C51" t="s">
        <v>37</v>
      </c>
      <c r="E51" s="18">
        <f>SQRT(E52/E53)</f>
        <v>1.3416407864998738</v>
      </c>
    </row>
    <row r="52" spans="1:5" x14ac:dyDescent="0.2">
      <c r="A52" t="s">
        <v>38</v>
      </c>
      <c r="D52" s="2" t="s">
        <v>39</v>
      </c>
      <c r="E52" s="14">
        <v>0.18</v>
      </c>
    </row>
    <row r="53" spans="1:5" x14ac:dyDescent="0.2">
      <c r="D53" s="2" t="s">
        <v>40</v>
      </c>
      <c r="E53" s="14">
        <v>0.1</v>
      </c>
    </row>
    <row r="57" spans="1:5" x14ac:dyDescent="0.2">
      <c r="A57" t="s">
        <v>71</v>
      </c>
      <c r="B57" t="s">
        <v>69</v>
      </c>
      <c r="C57" t="s">
        <v>70</v>
      </c>
    </row>
    <row r="58" spans="1:5" x14ac:dyDescent="0.2">
      <c r="A58">
        <f>B58/1000</f>
        <v>9.9500000000000006E-5</v>
      </c>
      <c r="B58">
        <v>9.9500000000000005E-2</v>
      </c>
      <c r="C58">
        <v>0</v>
      </c>
    </row>
    <row r="59" spans="1:5" x14ac:dyDescent="0.2">
      <c r="A59">
        <f t="shared" ref="A59:A122" si="3">B59/1000</f>
        <v>1.1300000000000001E-4</v>
      </c>
      <c r="B59">
        <v>0.113</v>
      </c>
      <c r="C59">
        <v>0</v>
      </c>
    </row>
    <row r="60" spans="1:5" x14ac:dyDescent="0.2">
      <c r="A60">
        <f t="shared" si="3"/>
        <v>1.2799999999999999E-4</v>
      </c>
      <c r="B60">
        <v>0.128</v>
      </c>
      <c r="C60">
        <v>0</v>
      </c>
    </row>
    <row r="61" spans="1:5" x14ac:dyDescent="0.2">
      <c r="A61">
        <f t="shared" si="3"/>
        <v>1.46E-4</v>
      </c>
      <c r="B61">
        <v>0.14599999999999999</v>
      </c>
      <c r="C61">
        <v>0</v>
      </c>
    </row>
    <row r="62" spans="1:5" x14ac:dyDescent="0.2">
      <c r="A62">
        <f t="shared" si="3"/>
        <v>1.66E-4</v>
      </c>
      <c r="B62">
        <v>0.16600000000000001</v>
      </c>
      <c r="C62">
        <v>0</v>
      </c>
    </row>
    <row r="63" spans="1:5" x14ac:dyDescent="0.2">
      <c r="A63">
        <f t="shared" si="3"/>
        <v>1.8799999999999999E-4</v>
      </c>
      <c r="B63">
        <v>0.188</v>
      </c>
      <c r="C63">
        <v>0</v>
      </c>
    </row>
    <row r="64" spans="1:5" x14ac:dyDescent="0.2">
      <c r="A64">
        <f t="shared" si="3"/>
        <v>2.14E-4</v>
      </c>
      <c r="B64">
        <v>0.214</v>
      </c>
      <c r="C64">
        <v>0</v>
      </c>
    </row>
    <row r="65" spans="1:5" x14ac:dyDescent="0.2">
      <c r="A65">
        <f t="shared" si="3"/>
        <v>2.43E-4</v>
      </c>
      <c r="B65">
        <v>0.24299999999999999</v>
      </c>
      <c r="C65">
        <v>0</v>
      </c>
    </row>
    <row r="66" spans="1:5" x14ac:dyDescent="0.2">
      <c r="A66">
        <f t="shared" si="3"/>
        <v>2.7600000000000004E-4</v>
      </c>
      <c r="B66">
        <v>0.27600000000000002</v>
      </c>
      <c r="C66">
        <v>0</v>
      </c>
    </row>
    <row r="67" spans="1:5" x14ac:dyDescent="0.2">
      <c r="A67">
        <f t="shared" si="3"/>
        <v>3.1399999999999999E-4</v>
      </c>
      <c r="B67">
        <v>0.314</v>
      </c>
      <c r="C67">
        <v>0</v>
      </c>
    </row>
    <row r="68" spans="1:5" x14ac:dyDescent="0.2">
      <c r="A68">
        <f t="shared" si="3"/>
        <v>3.57E-4</v>
      </c>
      <c r="B68">
        <v>0.35699999999999998</v>
      </c>
      <c r="C68">
        <v>0</v>
      </c>
    </row>
    <row r="69" spans="1:5" x14ac:dyDescent="0.2">
      <c r="A69">
        <f t="shared" si="3"/>
        <v>4.0500000000000003E-4</v>
      </c>
      <c r="B69">
        <v>0.40500000000000003</v>
      </c>
      <c r="C69">
        <v>0</v>
      </c>
    </row>
    <row r="70" spans="1:5" x14ac:dyDescent="0.2">
      <c r="A70">
        <f t="shared" si="3"/>
        <v>4.6000000000000001E-4</v>
      </c>
      <c r="B70">
        <v>0.46</v>
      </c>
      <c r="C70">
        <v>0</v>
      </c>
    </row>
    <row r="71" spans="1:5" x14ac:dyDescent="0.2">
      <c r="A71">
        <f t="shared" si="3"/>
        <v>5.2300000000000003E-4</v>
      </c>
      <c r="B71">
        <v>0.52300000000000002</v>
      </c>
      <c r="C71">
        <v>0</v>
      </c>
    </row>
    <row r="72" spans="1:5" x14ac:dyDescent="0.2">
      <c r="A72">
        <f t="shared" si="3"/>
        <v>5.9400000000000002E-4</v>
      </c>
      <c r="B72">
        <v>0.59399999999999997</v>
      </c>
      <c r="C72">
        <v>0.1</v>
      </c>
      <c r="D72">
        <f>C71+C72</f>
        <v>0.1</v>
      </c>
      <c r="E72">
        <f>(D72*$E$21)/100</f>
        <v>1.7012448132780088E-2</v>
      </c>
    </row>
    <row r="73" spans="1:5" x14ac:dyDescent="0.2">
      <c r="A73">
        <f t="shared" si="3"/>
        <v>6.7500000000000004E-4</v>
      </c>
      <c r="B73">
        <v>0.67500000000000004</v>
      </c>
      <c r="C73">
        <v>0.23</v>
      </c>
      <c r="D73">
        <f>D72+C73</f>
        <v>0.33</v>
      </c>
      <c r="E73">
        <f>(D73*$E$21)/100</f>
        <v>5.6141078838174291E-2</v>
      </c>
    </row>
    <row r="74" spans="1:5" x14ac:dyDescent="0.2">
      <c r="A74">
        <f t="shared" si="3"/>
        <v>7.67E-4</v>
      </c>
      <c r="B74">
        <v>0.76700000000000002</v>
      </c>
      <c r="C74">
        <v>0.4</v>
      </c>
      <c r="D74">
        <f t="shared" ref="D74:D137" si="4">D73+C74</f>
        <v>0.73</v>
      </c>
      <c r="E74">
        <f t="shared" ref="E74:E137" si="5">(D74*$E$21)/100</f>
        <v>0.12419087136929463</v>
      </c>
    </row>
    <row r="75" spans="1:5" x14ac:dyDescent="0.2">
      <c r="A75">
        <f t="shared" si="3"/>
        <v>8.7199999999999995E-4</v>
      </c>
      <c r="B75">
        <v>0.872</v>
      </c>
      <c r="C75">
        <v>0.6</v>
      </c>
      <c r="D75">
        <f t="shared" si="4"/>
        <v>1.33</v>
      </c>
      <c r="E75">
        <f t="shared" si="5"/>
        <v>0.22626556016597515</v>
      </c>
    </row>
    <row r="76" spans="1:5" x14ac:dyDescent="0.2">
      <c r="A76">
        <f t="shared" si="3"/>
        <v>9.9099999999999991E-4</v>
      </c>
      <c r="B76">
        <v>0.99099999999999999</v>
      </c>
      <c r="C76">
        <v>0.83</v>
      </c>
      <c r="D76">
        <f t="shared" si="4"/>
        <v>2.16</v>
      </c>
      <c r="E76">
        <f t="shared" si="5"/>
        <v>0.36746887966804992</v>
      </c>
    </row>
    <row r="77" spans="1:5" x14ac:dyDescent="0.2">
      <c r="A77">
        <f t="shared" si="3"/>
        <v>1.1299999999999999E-3</v>
      </c>
      <c r="B77">
        <v>1.1299999999999999</v>
      </c>
      <c r="C77">
        <v>1.1100000000000001</v>
      </c>
      <c r="D77">
        <f t="shared" si="4"/>
        <v>3.2700000000000005</v>
      </c>
      <c r="E77">
        <f t="shared" si="5"/>
        <v>0.55630705394190894</v>
      </c>
    </row>
    <row r="78" spans="1:5" x14ac:dyDescent="0.2">
      <c r="A78">
        <f t="shared" si="3"/>
        <v>1.2800000000000001E-3</v>
      </c>
      <c r="B78">
        <v>1.28</v>
      </c>
      <c r="C78">
        <v>1.46</v>
      </c>
      <c r="D78">
        <f t="shared" si="4"/>
        <v>4.7300000000000004</v>
      </c>
      <c r="E78">
        <f t="shared" si="5"/>
        <v>0.8046887966804982</v>
      </c>
    </row>
    <row r="79" spans="1:5" x14ac:dyDescent="0.2">
      <c r="A79">
        <f t="shared" si="3"/>
        <v>1.4499999999999999E-3</v>
      </c>
      <c r="B79">
        <v>1.45</v>
      </c>
      <c r="C79">
        <v>1.88</v>
      </c>
      <c r="D79">
        <f t="shared" si="4"/>
        <v>6.61</v>
      </c>
      <c r="E79">
        <f t="shared" si="5"/>
        <v>1.1245228215767638</v>
      </c>
    </row>
    <row r="80" spans="1:5" x14ac:dyDescent="0.2">
      <c r="A80">
        <f t="shared" si="3"/>
        <v>1.65E-3</v>
      </c>
      <c r="B80">
        <v>1.65</v>
      </c>
      <c r="C80">
        <v>2.35</v>
      </c>
      <c r="D80">
        <f t="shared" si="4"/>
        <v>8.9600000000000009</v>
      </c>
      <c r="E80">
        <f t="shared" si="5"/>
        <v>1.5243153526970961</v>
      </c>
    </row>
    <row r="81" spans="1:5" x14ac:dyDescent="0.2">
      <c r="A81">
        <f t="shared" si="3"/>
        <v>1.8799999999999999E-3</v>
      </c>
      <c r="B81">
        <v>1.88</v>
      </c>
      <c r="C81">
        <v>2.82</v>
      </c>
      <c r="D81">
        <f t="shared" si="4"/>
        <v>11.780000000000001</v>
      </c>
      <c r="E81">
        <f t="shared" si="5"/>
        <v>2.0040663900414946</v>
      </c>
    </row>
    <row r="82" spans="1:5" x14ac:dyDescent="0.2">
      <c r="A82" s="49">
        <f t="shared" si="3"/>
        <v>2.1299999999999999E-3</v>
      </c>
      <c r="B82" s="49">
        <v>2.13</v>
      </c>
      <c r="C82" s="49">
        <v>3.26</v>
      </c>
      <c r="D82" s="49">
        <f t="shared" si="4"/>
        <v>15.040000000000001</v>
      </c>
      <c r="E82" s="49">
        <f t="shared" si="5"/>
        <v>2.5586721991701249</v>
      </c>
    </row>
    <row r="83" spans="1:5" x14ac:dyDescent="0.2">
      <c r="A83">
        <f t="shared" si="3"/>
        <v>2.4199999999999998E-3</v>
      </c>
      <c r="B83">
        <v>2.42</v>
      </c>
      <c r="C83">
        <v>3.63</v>
      </c>
      <c r="D83">
        <f t="shared" si="4"/>
        <v>18.670000000000002</v>
      </c>
      <c r="E83">
        <f t="shared" si="5"/>
        <v>3.1762240663900423</v>
      </c>
    </row>
    <row r="84" spans="1:5" x14ac:dyDescent="0.2">
      <c r="A84">
        <f t="shared" si="3"/>
        <v>2.7499999999999998E-3</v>
      </c>
      <c r="B84">
        <v>2.75</v>
      </c>
      <c r="C84">
        <v>3.93</v>
      </c>
      <c r="D84">
        <f t="shared" si="4"/>
        <v>22.6</v>
      </c>
      <c r="E84">
        <f t="shared" si="5"/>
        <v>3.8448132780083002</v>
      </c>
    </row>
    <row r="85" spans="1:5" x14ac:dyDescent="0.2">
      <c r="A85">
        <f t="shared" si="3"/>
        <v>3.1199999999999999E-3</v>
      </c>
      <c r="B85">
        <v>3.12</v>
      </c>
      <c r="C85">
        <v>4.17</v>
      </c>
      <c r="D85">
        <f t="shared" si="4"/>
        <v>26.770000000000003</v>
      </c>
      <c r="E85">
        <f t="shared" si="5"/>
        <v>4.5542323651452294</v>
      </c>
    </row>
    <row r="86" spans="1:5" x14ac:dyDescent="0.2">
      <c r="A86">
        <f t="shared" si="3"/>
        <v>3.5499999999999998E-3</v>
      </c>
      <c r="B86">
        <v>3.55</v>
      </c>
      <c r="C86">
        <v>4.3499999999999996</v>
      </c>
      <c r="D86">
        <f t="shared" si="4"/>
        <v>31.120000000000005</v>
      </c>
      <c r="E86">
        <f t="shared" si="5"/>
        <v>5.294273858921164</v>
      </c>
    </row>
    <row r="87" spans="1:5" x14ac:dyDescent="0.2">
      <c r="A87">
        <f t="shared" si="3"/>
        <v>4.0300000000000006E-3</v>
      </c>
      <c r="B87">
        <v>4.03</v>
      </c>
      <c r="C87">
        <v>4.46</v>
      </c>
      <c r="D87">
        <f t="shared" si="4"/>
        <v>35.580000000000005</v>
      </c>
      <c r="E87">
        <f t="shared" si="5"/>
        <v>6.0530290456431555</v>
      </c>
    </row>
    <row r="88" spans="1:5" x14ac:dyDescent="0.2">
      <c r="A88">
        <f t="shared" si="3"/>
        <v>4.5799999999999999E-3</v>
      </c>
      <c r="B88">
        <v>4.58</v>
      </c>
      <c r="C88">
        <v>4.51</v>
      </c>
      <c r="D88">
        <f t="shared" si="4"/>
        <v>40.090000000000003</v>
      </c>
      <c r="E88">
        <f t="shared" si="5"/>
        <v>6.820290456431537</v>
      </c>
    </row>
    <row r="89" spans="1:5" x14ac:dyDescent="0.2">
      <c r="A89">
        <f t="shared" si="3"/>
        <v>5.2100000000000002E-3</v>
      </c>
      <c r="B89">
        <v>5.21</v>
      </c>
      <c r="C89">
        <v>4.51</v>
      </c>
      <c r="D89">
        <f t="shared" si="4"/>
        <v>44.6</v>
      </c>
      <c r="E89">
        <f t="shared" si="5"/>
        <v>7.5875518672199185</v>
      </c>
    </row>
    <row r="90" spans="1:5" x14ac:dyDescent="0.2">
      <c r="A90">
        <f t="shared" si="3"/>
        <v>5.9199999999999999E-3</v>
      </c>
      <c r="B90">
        <v>5.92</v>
      </c>
      <c r="C90">
        <v>4.46</v>
      </c>
      <c r="D90">
        <f t="shared" si="4"/>
        <v>49.06</v>
      </c>
      <c r="E90">
        <f t="shared" si="5"/>
        <v>8.34630705394191</v>
      </c>
    </row>
    <row r="91" spans="1:5" x14ac:dyDescent="0.2">
      <c r="A91">
        <f t="shared" si="3"/>
        <v>6.7199999999999994E-3</v>
      </c>
      <c r="B91">
        <v>6.72</v>
      </c>
      <c r="C91">
        <v>4.37</v>
      </c>
      <c r="D91">
        <f t="shared" si="4"/>
        <v>53.43</v>
      </c>
      <c r="E91">
        <f t="shared" si="5"/>
        <v>9.089751037344401</v>
      </c>
    </row>
    <row r="92" spans="1:5" x14ac:dyDescent="0.2">
      <c r="A92">
        <f t="shared" si="3"/>
        <v>7.6400000000000001E-3</v>
      </c>
      <c r="B92">
        <v>7.64</v>
      </c>
      <c r="C92">
        <v>4.26</v>
      </c>
      <c r="D92">
        <f t="shared" si="4"/>
        <v>57.69</v>
      </c>
      <c r="E92">
        <f t="shared" si="5"/>
        <v>9.8144813278008307</v>
      </c>
    </row>
    <row r="93" spans="1:5" x14ac:dyDescent="0.2">
      <c r="A93">
        <f t="shared" si="3"/>
        <v>8.6800000000000002E-3</v>
      </c>
      <c r="B93">
        <v>8.68</v>
      </c>
      <c r="C93">
        <v>4.13</v>
      </c>
      <c r="D93">
        <f t="shared" si="4"/>
        <v>61.82</v>
      </c>
      <c r="E93">
        <f t="shared" si="5"/>
        <v>10.51709543568465</v>
      </c>
    </row>
    <row r="94" spans="1:5" x14ac:dyDescent="0.2">
      <c r="A94">
        <f t="shared" si="3"/>
        <v>9.859999999999999E-3</v>
      </c>
      <c r="B94">
        <v>9.86</v>
      </c>
      <c r="C94">
        <v>4.01</v>
      </c>
      <c r="D94">
        <f t="shared" si="4"/>
        <v>65.83</v>
      </c>
      <c r="E94">
        <f t="shared" si="5"/>
        <v>11.199294605809129</v>
      </c>
    </row>
    <row r="95" spans="1:5" x14ac:dyDescent="0.2">
      <c r="A95">
        <f t="shared" si="3"/>
        <v>1.12E-2</v>
      </c>
      <c r="B95">
        <v>11.2</v>
      </c>
      <c r="C95">
        <v>3.88</v>
      </c>
      <c r="D95">
        <f t="shared" si="4"/>
        <v>69.709999999999994</v>
      </c>
      <c r="E95">
        <f t="shared" si="5"/>
        <v>11.859377593360998</v>
      </c>
    </row>
    <row r="96" spans="1:5" x14ac:dyDescent="0.2">
      <c r="A96">
        <f t="shared" si="3"/>
        <v>1.2699999999999999E-2</v>
      </c>
      <c r="B96">
        <v>12.7</v>
      </c>
      <c r="C96">
        <v>3.76</v>
      </c>
      <c r="D96">
        <f t="shared" si="4"/>
        <v>73.47</v>
      </c>
      <c r="E96">
        <f t="shared" si="5"/>
        <v>12.499045643153529</v>
      </c>
    </row>
    <row r="97" spans="1:5" x14ac:dyDescent="0.2">
      <c r="A97">
        <f t="shared" si="3"/>
        <v>1.4500000000000001E-2</v>
      </c>
      <c r="B97">
        <v>14.5</v>
      </c>
      <c r="C97">
        <v>3.64</v>
      </c>
      <c r="D97">
        <f t="shared" si="4"/>
        <v>77.11</v>
      </c>
      <c r="E97">
        <f t="shared" si="5"/>
        <v>13.118298755186725</v>
      </c>
    </row>
    <row r="98" spans="1:5" x14ac:dyDescent="0.2">
      <c r="A98">
        <f t="shared" si="3"/>
        <v>1.6399999999999998E-2</v>
      </c>
      <c r="B98">
        <v>16.399999999999999</v>
      </c>
      <c r="C98">
        <v>3.51</v>
      </c>
      <c r="D98">
        <f t="shared" si="4"/>
        <v>80.62</v>
      </c>
      <c r="E98">
        <f t="shared" si="5"/>
        <v>13.715435684647307</v>
      </c>
    </row>
    <row r="99" spans="1:5" x14ac:dyDescent="0.2">
      <c r="A99">
        <f t="shared" si="3"/>
        <v>1.8699999999999998E-2</v>
      </c>
      <c r="B99">
        <v>18.7</v>
      </c>
      <c r="C99">
        <v>3.35</v>
      </c>
      <c r="D99">
        <f t="shared" si="4"/>
        <v>83.97</v>
      </c>
      <c r="E99">
        <f t="shared" si="5"/>
        <v>14.285352697095439</v>
      </c>
    </row>
    <row r="100" spans="1:5" x14ac:dyDescent="0.2">
      <c r="A100">
        <f t="shared" si="3"/>
        <v>2.12E-2</v>
      </c>
      <c r="B100">
        <v>21.2</v>
      </c>
      <c r="C100">
        <v>3.14</v>
      </c>
      <c r="D100">
        <f t="shared" si="4"/>
        <v>87.11</v>
      </c>
      <c r="E100">
        <f t="shared" si="5"/>
        <v>14.819543568464733</v>
      </c>
    </row>
    <row r="101" spans="1:5" x14ac:dyDescent="0.2">
      <c r="A101">
        <f t="shared" si="3"/>
        <v>2.41E-2</v>
      </c>
      <c r="B101">
        <v>24.1</v>
      </c>
      <c r="C101">
        <v>2.87</v>
      </c>
      <c r="D101">
        <f t="shared" si="4"/>
        <v>89.98</v>
      </c>
      <c r="E101">
        <f t="shared" si="5"/>
        <v>15.307800829875523</v>
      </c>
    </row>
    <row r="102" spans="1:5" x14ac:dyDescent="0.2">
      <c r="A102">
        <f t="shared" si="3"/>
        <v>2.7399999999999997E-2</v>
      </c>
      <c r="B102">
        <v>27.4</v>
      </c>
      <c r="C102">
        <v>2.54</v>
      </c>
      <c r="D102">
        <f t="shared" si="4"/>
        <v>92.52000000000001</v>
      </c>
      <c r="E102">
        <f t="shared" si="5"/>
        <v>15.739917012448139</v>
      </c>
    </row>
    <row r="103" spans="1:5" x14ac:dyDescent="0.2">
      <c r="A103">
        <f t="shared" si="3"/>
        <v>3.1100000000000003E-2</v>
      </c>
      <c r="B103">
        <v>31.1</v>
      </c>
      <c r="C103">
        <v>2.16</v>
      </c>
      <c r="D103">
        <f t="shared" si="4"/>
        <v>94.68</v>
      </c>
      <c r="E103">
        <f t="shared" si="5"/>
        <v>16.107385892116188</v>
      </c>
    </row>
    <row r="104" spans="1:5" x14ac:dyDescent="0.2">
      <c r="A104">
        <f t="shared" si="3"/>
        <v>3.5299999999999998E-2</v>
      </c>
      <c r="B104">
        <v>35.299999999999997</v>
      </c>
      <c r="C104">
        <v>1.76</v>
      </c>
      <c r="D104">
        <f t="shared" si="4"/>
        <v>96.440000000000012</v>
      </c>
      <c r="E104">
        <f t="shared" si="5"/>
        <v>16.406804979253117</v>
      </c>
    </row>
    <row r="105" spans="1:5" x14ac:dyDescent="0.2">
      <c r="A105">
        <f t="shared" si="3"/>
        <v>4.0100000000000004E-2</v>
      </c>
      <c r="B105">
        <v>40.1</v>
      </c>
      <c r="C105">
        <v>1.36</v>
      </c>
      <c r="D105">
        <f t="shared" si="4"/>
        <v>97.800000000000011</v>
      </c>
      <c r="E105">
        <f t="shared" si="5"/>
        <v>16.638174273858926</v>
      </c>
    </row>
    <row r="106" spans="1:5" x14ac:dyDescent="0.2">
      <c r="A106">
        <f t="shared" si="3"/>
        <v>4.5600000000000002E-2</v>
      </c>
      <c r="B106">
        <v>45.6</v>
      </c>
      <c r="C106">
        <v>0.99</v>
      </c>
      <c r="D106">
        <f t="shared" si="4"/>
        <v>98.79</v>
      </c>
      <c r="E106">
        <f t="shared" si="5"/>
        <v>16.80659751037345</v>
      </c>
    </row>
    <row r="107" spans="1:5" x14ac:dyDescent="0.2">
      <c r="A107">
        <f t="shared" si="3"/>
        <v>5.1799999999999999E-2</v>
      </c>
      <c r="B107">
        <v>51.8</v>
      </c>
      <c r="C107">
        <v>0.66</v>
      </c>
      <c r="D107">
        <f t="shared" si="4"/>
        <v>99.45</v>
      </c>
      <c r="E107">
        <f t="shared" si="5"/>
        <v>16.918879668049797</v>
      </c>
    </row>
    <row r="108" spans="1:5" x14ac:dyDescent="0.2">
      <c r="A108">
        <f t="shared" si="3"/>
        <v>5.8900000000000001E-2</v>
      </c>
      <c r="B108">
        <v>58.9</v>
      </c>
      <c r="C108">
        <v>0.38</v>
      </c>
      <c r="D108">
        <f t="shared" si="4"/>
        <v>99.83</v>
      </c>
      <c r="E108">
        <f t="shared" si="5"/>
        <v>16.983526970954362</v>
      </c>
    </row>
    <row r="109" spans="1:5" x14ac:dyDescent="0.2">
      <c r="A109">
        <f t="shared" si="3"/>
        <v>6.6900000000000001E-2</v>
      </c>
      <c r="B109">
        <v>66.900000000000006</v>
      </c>
      <c r="C109">
        <v>0.16</v>
      </c>
      <c r="D109">
        <f t="shared" si="4"/>
        <v>99.99</v>
      </c>
      <c r="E109">
        <f t="shared" si="5"/>
        <v>17.010746887966807</v>
      </c>
    </row>
    <row r="110" spans="1:5" x14ac:dyDescent="0.2">
      <c r="A110">
        <f t="shared" si="3"/>
        <v>7.5999999999999998E-2</v>
      </c>
      <c r="B110">
        <v>76</v>
      </c>
      <c r="C110">
        <v>0.04</v>
      </c>
      <c r="D110">
        <f t="shared" si="4"/>
        <v>100.03</v>
      </c>
      <c r="E110">
        <f t="shared" si="5"/>
        <v>17.017551867219922</v>
      </c>
    </row>
    <row r="111" spans="1:5" x14ac:dyDescent="0.2">
      <c r="A111">
        <f t="shared" si="3"/>
        <v>8.6400000000000005E-2</v>
      </c>
      <c r="B111">
        <v>86.4</v>
      </c>
      <c r="C111">
        <v>0</v>
      </c>
      <c r="D111">
        <f t="shared" si="4"/>
        <v>100.03</v>
      </c>
      <c r="E111">
        <f t="shared" si="5"/>
        <v>17.017551867219922</v>
      </c>
    </row>
    <row r="112" spans="1:5" x14ac:dyDescent="0.2">
      <c r="A112">
        <f t="shared" si="3"/>
        <v>9.8099999999999993E-2</v>
      </c>
      <c r="B112">
        <v>98.1</v>
      </c>
      <c r="C112">
        <v>0</v>
      </c>
      <c r="D112">
        <f t="shared" si="4"/>
        <v>100.03</v>
      </c>
      <c r="E112">
        <f t="shared" si="5"/>
        <v>17.017551867219922</v>
      </c>
    </row>
    <row r="113" spans="1:5" x14ac:dyDescent="0.2">
      <c r="A113">
        <f t="shared" si="3"/>
        <v>0.111</v>
      </c>
      <c r="B113">
        <v>111</v>
      </c>
      <c r="C113">
        <v>0</v>
      </c>
      <c r="D113">
        <f t="shared" si="4"/>
        <v>100.03</v>
      </c>
      <c r="E113">
        <f t="shared" si="5"/>
        <v>17.017551867219922</v>
      </c>
    </row>
    <row r="114" spans="1:5" x14ac:dyDescent="0.2">
      <c r="A114">
        <f t="shared" si="3"/>
        <v>0.127</v>
      </c>
      <c r="B114">
        <v>127</v>
      </c>
      <c r="C114">
        <v>0</v>
      </c>
      <c r="D114">
        <f t="shared" si="4"/>
        <v>100.03</v>
      </c>
      <c r="E114">
        <f t="shared" si="5"/>
        <v>17.017551867219922</v>
      </c>
    </row>
    <row r="115" spans="1:5" x14ac:dyDescent="0.2">
      <c r="A115">
        <f t="shared" si="3"/>
        <v>0.14399999999999999</v>
      </c>
      <c r="B115">
        <v>144</v>
      </c>
      <c r="C115">
        <v>0</v>
      </c>
      <c r="D115">
        <f t="shared" si="4"/>
        <v>100.03</v>
      </c>
      <c r="E115">
        <f t="shared" si="5"/>
        <v>17.017551867219922</v>
      </c>
    </row>
    <row r="116" spans="1:5" x14ac:dyDescent="0.2">
      <c r="A116">
        <f t="shared" si="3"/>
        <v>0.16300000000000001</v>
      </c>
      <c r="B116">
        <v>163</v>
      </c>
      <c r="C116">
        <v>0</v>
      </c>
      <c r="D116">
        <f t="shared" si="4"/>
        <v>100.03</v>
      </c>
      <c r="E116">
        <f t="shared" si="5"/>
        <v>17.017551867219922</v>
      </c>
    </row>
    <row r="117" spans="1:5" x14ac:dyDescent="0.2">
      <c r="A117">
        <f t="shared" si="3"/>
        <v>0.186</v>
      </c>
      <c r="B117">
        <v>186</v>
      </c>
      <c r="C117">
        <v>0</v>
      </c>
      <c r="D117">
        <f t="shared" si="4"/>
        <v>100.03</v>
      </c>
      <c r="E117">
        <f t="shared" si="5"/>
        <v>17.017551867219922</v>
      </c>
    </row>
    <row r="118" spans="1:5" x14ac:dyDescent="0.2">
      <c r="A118">
        <f t="shared" si="3"/>
        <v>0.21099999999999999</v>
      </c>
      <c r="B118">
        <v>211</v>
      </c>
      <c r="C118">
        <v>0</v>
      </c>
      <c r="D118">
        <f t="shared" si="4"/>
        <v>100.03</v>
      </c>
      <c r="E118">
        <f t="shared" si="5"/>
        <v>17.017551867219922</v>
      </c>
    </row>
    <row r="119" spans="1:5" x14ac:dyDescent="0.2">
      <c r="A119">
        <f t="shared" si="3"/>
        <v>0.24</v>
      </c>
      <c r="B119">
        <v>240</v>
      </c>
      <c r="C119">
        <v>0</v>
      </c>
      <c r="D119">
        <f t="shared" si="4"/>
        <v>100.03</v>
      </c>
      <c r="E119">
        <f t="shared" si="5"/>
        <v>17.017551867219922</v>
      </c>
    </row>
    <row r="120" spans="1:5" x14ac:dyDescent="0.2">
      <c r="A120">
        <f t="shared" si="3"/>
        <v>0.27200000000000002</v>
      </c>
      <c r="B120">
        <v>272</v>
      </c>
      <c r="C120">
        <v>0</v>
      </c>
      <c r="D120">
        <f t="shared" si="4"/>
        <v>100.03</v>
      </c>
      <c r="E120">
        <f t="shared" si="5"/>
        <v>17.017551867219922</v>
      </c>
    </row>
    <row r="121" spans="1:5" x14ac:dyDescent="0.2">
      <c r="A121">
        <f t="shared" si="3"/>
        <v>0.31</v>
      </c>
      <c r="B121">
        <v>310</v>
      </c>
      <c r="C121">
        <v>0</v>
      </c>
      <c r="D121">
        <f t="shared" si="4"/>
        <v>100.03</v>
      </c>
      <c r="E121">
        <f t="shared" si="5"/>
        <v>17.017551867219922</v>
      </c>
    </row>
    <row r="122" spans="1:5" x14ac:dyDescent="0.2">
      <c r="A122">
        <f t="shared" si="3"/>
        <v>0.35199999999999998</v>
      </c>
      <c r="B122">
        <v>352</v>
      </c>
      <c r="C122">
        <v>0</v>
      </c>
      <c r="D122">
        <f t="shared" si="4"/>
        <v>100.03</v>
      </c>
      <c r="E122">
        <f t="shared" si="5"/>
        <v>17.017551867219922</v>
      </c>
    </row>
    <row r="123" spans="1:5" x14ac:dyDescent="0.2">
      <c r="A123">
        <f t="shared" ref="A123:A137" si="6">B123/1000</f>
        <v>0.4</v>
      </c>
      <c r="B123">
        <v>400</v>
      </c>
      <c r="C123">
        <v>0</v>
      </c>
      <c r="D123">
        <f t="shared" si="4"/>
        <v>100.03</v>
      </c>
      <c r="E123">
        <f t="shared" si="5"/>
        <v>17.017551867219922</v>
      </c>
    </row>
    <row r="124" spans="1:5" x14ac:dyDescent="0.2">
      <c r="A124">
        <f t="shared" si="6"/>
        <v>0.45400000000000001</v>
      </c>
      <c r="B124">
        <v>454</v>
      </c>
      <c r="C124">
        <v>0</v>
      </c>
      <c r="D124">
        <f t="shared" si="4"/>
        <v>100.03</v>
      </c>
      <c r="E124">
        <f t="shared" si="5"/>
        <v>17.017551867219922</v>
      </c>
    </row>
    <row r="125" spans="1:5" x14ac:dyDescent="0.2">
      <c r="A125">
        <f t="shared" si="6"/>
        <v>0.51600000000000001</v>
      </c>
      <c r="B125">
        <v>516</v>
      </c>
      <c r="C125">
        <v>0</v>
      </c>
      <c r="D125">
        <f t="shared" si="4"/>
        <v>100.03</v>
      </c>
      <c r="E125">
        <f t="shared" si="5"/>
        <v>17.017551867219922</v>
      </c>
    </row>
    <row r="126" spans="1:5" x14ac:dyDescent="0.2">
      <c r="A126">
        <f t="shared" si="6"/>
        <v>0.58599999999999997</v>
      </c>
      <c r="B126">
        <v>586</v>
      </c>
      <c r="C126">
        <v>0</v>
      </c>
      <c r="D126">
        <f t="shared" si="4"/>
        <v>100.03</v>
      </c>
      <c r="E126">
        <f t="shared" si="5"/>
        <v>17.017551867219922</v>
      </c>
    </row>
    <row r="127" spans="1:5" x14ac:dyDescent="0.2">
      <c r="A127">
        <f t="shared" si="6"/>
        <v>0.66600000000000004</v>
      </c>
      <c r="B127">
        <v>666</v>
      </c>
      <c r="C127">
        <v>0</v>
      </c>
      <c r="D127">
        <f t="shared" si="4"/>
        <v>100.03</v>
      </c>
      <c r="E127">
        <f t="shared" si="5"/>
        <v>17.017551867219922</v>
      </c>
    </row>
    <row r="128" spans="1:5" x14ac:dyDescent="0.2">
      <c r="A128">
        <f t="shared" si="6"/>
        <v>0.75600000000000001</v>
      </c>
      <c r="B128">
        <v>756</v>
      </c>
      <c r="C128">
        <v>0</v>
      </c>
      <c r="D128">
        <f t="shared" si="4"/>
        <v>100.03</v>
      </c>
      <c r="E128">
        <f t="shared" si="5"/>
        <v>17.017551867219922</v>
      </c>
    </row>
    <row r="129" spans="1:5" x14ac:dyDescent="0.2">
      <c r="A129">
        <f t="shared" si="6"/>
        <v>0.85899999999999999</v>
      </c>
      <c r="B129">
        <v>859</v>
      </c>
      <c r="C129">
        <v>0</v>
      </c>
      <c r="D129">
        <f t="shared" si="4"/>
        <v>100.03</v>
      </c>
      <c r="E129">
        <f t="shared" si="5"/>
        <v>17.017551867219922</v>
      </c>
    </row>
    <row r="130" spans="1:5" x14ac:dyDescent="0.2">
      <c r="A130">
        <f t="shared" si="6"/>
        <v>0.97599999999999998</v>
      </c>
      <c r="B130">
        <v>976</v>
      </c>
      <c r="C130">
        <v>0</v>
      </c>
      <c r="D130">
        <f t="shared" si="4"/>
        <v>100.03</v>
      </c>
      <c r="E130">
        <f t="shared" si="5"/>
        <v>17.017551867219922</v>
      </c>
    </row>
    <row r="131" spans="1:5" x14ac:dyDescent="0.2">
      <c r="A131">
        <f t="shared" si="6"/>
        <v>1.1100000000000001</v>
      </c>
      <c r="B131">
        <v>1110</v>
      </c>
      <c r="C131">
        <v>0</v>
      </c>
      <c r="D131">
        <f t="shared" si="4"/>
        <v>100.03</v>
      </c>
      <c r="E131">
        <f t="shared" si="5"/>
        <v>17.017551867219922</v>
      </c>
    </row>
    <row r="132" spans="1:5" x14ac:dyDescent="0.2">
      <c r="A132">
        <f t="shared" si="6"/>
        <v>1.26</v>
      </c>
      <c r="B132">
        <v>1260</v>
      </c>
      <c r="C132">
        <v>0</v>
      </c>
      <c r="D132">
        <f t="shared" si="4"/>
        <v>100.03</v>
      </c>
      <c r="E132">
        <f t="shared" si="5"/>
        <v>17.017551867219922</v>
      </c>
    </row>
    <row r="133" spans="1:5" x14ac:dyDescent="0.2">
      <c r="A133">
        <f t="shared" si="6"/>
        <v>1.43</v>
      </c>
      <c r="B133">
        <v>1430</v>
      </c>
      <c r="C133">
        <v>0</v>
      </c>
      <c r="D133">
        <f t="shared" si="4"/>
        <v>100.03</v>
      </c>
      <c r="E133">
        <f t="shared" si="5"/>
        <v>17.017551867219922</v>
      </c>
    </row>
    <row r="134" spans="1:5" x14ac:dyDescent="0.2">
      <c r="A134">
        <f t="shared" si="6"/>
        <v>1.63</v>
      </c>
      <c r="B134">
        <v>1630</v>
      </c>
      <c r="C134">
        <v>0</v>
      </c>
      <c r="D134">
        <f t="shared" si="4"/>
        <v>100.03</v>
      </c>
      <c r="E134">
        <f t="shared" si="5"/>
        <v>17.017551867219922</v>
      </c>
    </row>
    <row r="135" spans="1:5" x14ac:dyDescent="0.2">
      <c r="A135">
        <f t="shared" si="6"/>
        <v>1.85</v>
      </c>
      <c r="B135">
        <v>1850</v>
      </c>
      <c r="C135">
        <v>0</v>
      </c>
      <c r="D135">
        <f t="shared" si="4"/>
        <v>100.03</v>
      </c>
      <c r="E135">
        <f t="shared" si="5"/>
        <v>17.017551867219922</v>
      </c>
    </row>
    <row r="136" spans="1:5" x14ac:dyDescent="0.2">
      <c r="A136">
        <f t="shared" si="6"/>
        <v>2.1</v>
      </c>
      <c r="B136">
        <v>2100</v>
      </c>
      <c r="C136">
        <v>0</v>
      </c>
      <c r="D136">
        <f t="shared" si="4"/>
        <v>100.03</v>
      </c>
      <c r="E136">
        <f t="shared" si="5"/>
        <v>17.017551867219922</v>
      </c>
    </row>
    <row r="137" spans="1:5" x14ac:dyDescent="0.2">
      <c r="A137">
        <f t="shared" si="6"/>
        <v>2.39</v>
      </c>
      <c r="B137">
        <v>2390</v>
      </c>
      <c r="C137">
        <v>0</v>
      </c>
      <c r="D137">
        <f t="shared" si="4"/>
        <v>100.03</v>
      </c>
      <c r="E137">
        <f t="shared" si="5"/>
        <v>17.017551867219922</v>
      </c>
    </row>
  </sheetData>
  <pageMargins left="0.39370078740157483" right="0.39370078740157483" top="0.98425196850393704" bottom="0.98425196850393704" header="0.51181102362204722" footer="0.51181102362204722"/>
  <pageSetup paperSize="9" orientation="portrait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ACBC3-7759-45C5-8E57-4CDFC795E3CD}">
  <dimension ref="A1:J136"/>
  <sheetViews>
    <sheetView topLeftCell="A66" zoomScale="115" zoomScaleNormal="115" workbookViewId="0">
      <selection activeCell="E81" sqref="E81"/>
    </sheetView>
  </sheetViews>
  <sheetFormatPr defaultRowHeight="12.75" x14ac:dyDescent="0.2"/>
  <cols>
    <col min="1" max="1" width="14" customWidth="1"/>
    <col min="2" max="3" width="13.85546875" customWidth="1"/>
    <col min="4" max="4" width="14.28515625" bestFit="1" customWidth="1"/>
    <col min="5" max="6" width="10.7109375" customWidth="1"/>
    <col min="7" max="7" width="15.85546875" customWidth="1"/>
    <col min="8" max="8" width="3.140625" customWidth="1"/>
    <col min="9" max="9" width="18.42578125" bestFit="1" customWidth="1"/>
  </cols>
  <sheetData>
    <row r="1" spans="1:10" ht="18" x14ac:dyDescent="0.25">
      <c r="A1" s="6" t="s">
        <v>0</v>
      </c>
      <c r="B1" s="6"/>
    </row>
    <row r="2" spans="1:10" ht="15.75" x14ac:dyDescent="0.25">
      <c r="A2" s="1"/>
    </row>
    <row r="3" spans="1:10" x14ac:dyDescent="0.2">
      <c r="A3" s="3" t="s">
        <v>1</v>
      </c>
      <c r="B3" s="38">
        <v>33</v>
      </c>
      <c r="C3" s="4"/>
      <c r="D3" s="4"/>
      <c r="E3" s="4"/>
    </row>
    <row r="4" spans="1:10" x14ac:dyDescent="0.2">
      <c r="A4" s="7" t="s">
        <v>2</v>
      </c>
      <c r="B4" s="43"/>
      <c r="C4" s="45" t="s">
        <v>3</v>
      </c>
      <c r="D4" s="35" t="s">
        <v>68</v>
      </c>
      <c r="E4" s="46" t="s">
        <v>5</v>
      </c>
      <c r="G4" s="37"/>
    </row>
    <row r="5" spans="1:10" x14ac:dyDescent="0.2">
      <c r="A5" s="7" t="s">
        <v>6</v>
      </c>
      <c r="B5" s="47"/>
      <c r="C5" s="44">
        <f>J11-J13</f>
        <v>34.714099999999995</v>
      </c>
      <c r="D5" s="10" t="s">
        <v>7</v>
      </c>
      <c r="E5" s="16"/>
      <c r="G5" s="37"/>
    </row>
    <row r="6" spans="1:10" x14ac:dyDescent="0.2">
      <c r="A6" s="12" t="s">
        <v>8</v>
      </c>
      <c r="B6" s="19">
        <f>100-(D22/C5*100)</f>
        <v>-16.995975698635462</v>
      </c>
      <c r="C6" s="5">
        <v>0</v>
      </c>
      <c r="D6" s="13"/>
      <c r="E6" s="5"/>
      <c r="F6" s="9"/>
    </row>
    <row r="7" spans="1:10" ht="14.25" customHeight="1" x14ac:dyDescent="0.2">
      <c r="A7" s="20" t="s">
        <v>9</v>
      </c>
      <c r="B7" s="32" t="s">
        <v>10</v>
      </c>
      <c r="C7" s="22" t="s">
        <v>11</v>
      </c>
      <c r="D7" s="22" t="s">
        <v>12</v>
      </c>
      <c r="E7" s="23" t="s">
        <v>13</v>
      </c>
      <c r="F7" s="23"/>
      <c r="G7" s="22" t="s">
        <v>14</v>
      </c>
    </row>
    <row r="8" spans="1:10" ht="14.25" customHeight="1" x14ac:dyDescent="0.2">
      <c r="A8" s="24" t="s">
        <v>15</v>
      </c>
      <c r="B8" s="33" t="s">
        <v>16</v>
      </c>
      <c r="C8" s="25" t="s">
        <v>16</v>
      </c>
      <c r="D8" s="25" t="s">
        <v>17</v>
      </c>
      <c r="E8" s="26" t="s">
        <v>18</v>
      </c>
      <c r="F8" s="26" t="s">
        <v>19</v>
      </c>
      <c r="G8" s="25" t="s">
        <v>18</v>
      </c>
    </row>
    <row r="9" spans="1:10" ht="14.25" customHeight="1" x14ac:dyDescent="0.2">
      <c r="A9" s="21"/>
      <c r="B9" s="29"/>
      <c r="C9" s="29"/>
      <c r="D9" s="30"/>
      <c r="E9" s="28">
        <f t="shared" ref="E9:E22" si="0">D9/$D$22*100</f>
        <v>0</v>
      </c>
      <c r="F9" s="21"/>
      <c r="G9" s="30"/>
    </row>
    <row r="10" spans="1:10" ht="14.25" customHeight="1" x14ac:dyDescent="0.2">
      <c r="A10" s="21"/>
      <c r="B10" s="21"/>
      <c r="C10" s="21"/>
      <c r="D10" s="31">
        <f>B10-C10</f>
        <v>0</v>
      </c>
      <c r="E10" s="28">
        <f t="shared" si="0"/>
        <v>0</v>
      </c>
      <c r="F10" s="21"/>
      <c r="G10" s="28">
        <f t="shared" ref="G10:G20" si="1">G11+E10</f>
        <v>100</v>
      </c>
    </row>
    <row r="11" spans="1:10" ht="14.25" customHeight="1" x14ac:dyDescent="0.2">
      <c r="A11" s="21"/>
      <c r="B11" s="21"/>
      <c r="C11" s="21"/>
      <c r="D11" s="31">
        <f t="shared" ref="D11:D21" si="2">B11-C11</f>
        <v>0</v>
      </c>
      <c r="E11" s="28">
        <f t="shared" si="0"/>
        <v>0</v>
      </c>
      <c r="F11" s="21"/>
      <c r="G11" s="28">
        <f t="shared" si="1"/>
        <v>100</v>
      </c>
      <c r="I11" s="41" t="s">
        <v>20</v>
      </c>
      <c r="J11">
        <v>40.914099999999998</v>
      </c>
    </row>
    <row r="12" spans="1:10" x14ac:dyDescent="0.2">
      <c r="A12" s="27">
        <v>2</v>
      </c>
      <c r="B12" s="28">
        <v>137</v>
      </c>
      <c r="C12" s="48">
        <v>136</v>
      </c>
      <c r="D12" s="34">
        <f t="shared" si="2"/>
        <v>1</v>
      </c>
      <c r="E12" s="28">
        <f t="shared" si="0"/>
        <v>2.4621990884938971</v>
      </c>
      <c r="F12" s="21">
        <v>6.3</v>
      </c>
      <c r="G12" s="28">
        <f t="shared" si="1"/>
        <v>100</v>
      </c>
      <c r="I12" t="s">
        <v>21</v>
      </c>
      <c r="J12">
        <v>30.8</v>
      </c>
    </row>
    <row r="13" spans="1:10" x14ac:dyDescent="0.2">
      <c r="A13" s="27">
        <v>1</v>
      </c>
      <c r="B13" s="28">
        <v>119.5</v>
      </c>
      <c r="C13" s="28">
        <v>118.8</v>
      </c>
      <c r="D13" s="34">
        <f t="shared" si="2"/>
        <v>0.70000000000000284</v>
      </c>
      <c r="E13" s="28">
        <f t="shared" si="0"/>
        <v>1.7235393619457349</v>
      </c>
      <c r="F13" s="27">
        <v>2</v>
      </c>
      <c r="G13" s="28">
        <f t="shared" si="1"/>
        <v>97.537800911506096</v>
      </c>
      <c r="I13" s="40" t="s">
        <v>22</v>
      </c>
      <c r="J13" s="40">
        <v>6.2</v>
      </c>
    </row>
    <row r="14" spans="1:10" x14ac:dyDescent="0.2">
      <c r="A14" s="27">
        <v>0.6</v>
      </c>
      <c r="B14" s="28">
        <v>118.7</v>
      </c>
      <c r="C14" s="28">
        <v>117.3</v>
      </c>
      <c r="D14" s="34">
        <f t="shared" si="2"/>
        <v>1.4000000000000057</v>
      </c>
      <c r="E14" s="28">
        <f t="shared" si="0"/>
        <v>3.4470787238914697</v>
      </c>
      <c r="F14" s="27">
        <v>1</v>
      </c>
      <c r="G14" s="28">
        <f t="shared" si="1"/>
        <v>95.814261549560356</v>
      </c>
      <c r="I14" t="s">
        <v>21</v>
      </c>
      <c r="J14" s="40">
        <f>J12-J13</f>
        <v>24.6</v>
      </c>
    </row>
    <row r="15" spans="1:10" x14ac:dyDescent="0.2">
      <c r="A15" s="27">
        <v>0.35499999999999998</v>
      </c>
      <c r="B15" s="28">
        <v>110.5</v>
      </c>
      <c r="C15" s="28">
        <v>107</v>
      </c>
      <c r="D15" s="34">
        <f t="shared" si="2"/>
        <v>3.5</v>
      </c>
      <c r="E15" s="28">
        <f t="shared" si="0"/>
        <v>8.6176968097286402</v>
      </c>
      <c r="F15" s="27">
        <v>0.6</v>
      </c>
      <c r="G15" s="28">
        <f t="shared" si="1"/>
        <v>92.367182825668891</v>
      </c>
      <c r="I15" s="42" t="s">
        <v>23</v>
      </c>
      <c r="J15" s="40">
        <f>B21-C21</f>
        <v>1.3999999999999915</v>
      </c>
    </row>
    <row r="16" spans="1:10" x14ac:dyDescent="0.2">
      <c r="A16" s="27">
        <v>0.25</v>
      </c>
      <c r="B16" s="28">
        <v>109.2</v>
      </c>
      <c r="C16" s="28">
        <v>105.6</v>
      </c>
      <c r="D16" s="34">
        <f t="shared" si="2"/>
        <v>3.6000000000000085</v>
      </c>
      <c r="E16" s="28">
        <f t="shared" si="0"/>
        <v>8.8639167185780501</v>
      </c>
      <c r="F16" s="27">
        <v>0.35499999999999998</v>
      </c>
      <c r="G16" s="28">
        <f t="shared" si="1"/>
        <v>83.749486015940249</v>
      </c>
      <c r="I16" s="42" t="s">
        <v>24</v>
      </c>
      <c r="J16" s="40">
        <f>(J11-J14)+J15</f>
        <v>17.714099999999988</v>
      </c>
    </row>
    <row r="17" spans="1:10" x14ac:dyDescent="0.2">
      <c r="A17" s="27">
        <v>0.18</v>
      </c>
      <c r="B17" s="28">
        <v>107.2</v>
      </c>
      <c r="C17" s="28">
        <v>104.3</v>
      </c>
      <c r="D17" s="34">
        <f t="shared" si="2"/>
        <v>2.9000000000000057</v>
      </c>
      <c r="E17" s="28">
        <f t="shared" si="0"/>
        <v>7.1403773566323157</v>
      </c>
      <c r="F17" s="27">
        <v>0.25</v>
      </c>
      <c r="G17" s="28">
        <f t="shared" si="1"/>
        <v>74.885569297362196</v>
      </c>
      <c r="I17" s="42" t="s">
        <v>25</v>
      </c>
      <c r="J17" s="40">
        <f>C21</f>
        <v>76.7</v>
      </c>
    </row>
    <row r="18" spans="1:10" x14ac:dyDescent="0.2">
      <c r="A18" s="27">
        <v>0.125</v>
      </c>
      <c r="B18" s="28">
        <v>107.8</v>
      </c>
      <c r="C18" s="28">
        <v>103.5</v>
      </c>
      <c r="D18" s="34">
        <f t="shared" si="2"/>
        <v>4.2999999999999972</v>
      </c>
      <c r="E18" s="28">
        <f t="shared" si="0"/>
        <v>10.587456080523749</v>
      </c>
      <c r="F18" s="27">
        <v>0.18</v>
      </c>
      <c r="G18" s="28">
        <f t="shared" si="1"/>
        <v>67.745191940729882</v>
      </c>
      <c r="I18" s="42" t="s">
        <v>26</v>
      </c>
      <c r="J18" s="40">
        <f>J16+J17</f>
        <v>94.414099999999991</v>
      </c>
    </row>
    <row r="19" spans="1:10" x14ac:dyDescent="0.2">
      <c r="A19" s="27">
        <v>0.09</v>
      </c>
      <c r="B19" s="28">
        <v>107.1</v>
      </c>
      <c r="C19" s="28">
        <v>104.4</v>
      </c>
      <c r="D19" s="34">
        <f t="shared" si="2"/>
        <v>2.6999999999999886</v>
      </c>
      <c r="E19" s="28">
        <f t="shared" si="0"/>
        <v>6.6479375389334932</v>
      </c>
      <c r="F19" s="27">
        <v>0.125</v>
      </c>
      <c r="G19" s="28">
        <f t="shared" si="1"/>
        <v>57.157735860206138</v>
      </c>
    </row>
    <row r="20" spans="1:10" x14ac:dyDescent="0.2">
      <c r="A20" s="27">
        <v>6.3E-2</v>
      </c>
      <c r="B20" s="28">
        <v>106.9</v>
      </c>
      <c r="C20" s="28">
        <v>104.1</v>
      </c>
      <c r="D20" s="34">
        <f t="shared" si="2"/>
        <v>2.8000000000000114</v>
      </c>
      <c r="E20" s="28">
        <f t="shared" si="0"/>
        <v>6.8941574477829395</v>
      </c>
      <c r="F20" s="27">
        <v>0.09</v>
      </c>
      <c r="G20" s="28">
        <f t="shared" si="1"/>
        <v>50.509798321272648</v>
      </c>
    </row>
    <row r="21" spans="1:10" x14ac:dyDescent="0.2">
      <c r="A21" s="2" t="s">
        <v>25</v>
      </c>
      <c r="B21" s="28">
        <v>78.099999999999994</v>
      </c>
      <c r="C21" s="28">
        <v>76.7</v>
      </c>
      <c r="D21" s="34">
        <f>J16</f>
        <v>17.714099999999988</v>
      </c>
      <c r="E21" s="28">
        <f t="shared" si="0"/>
        <v>43.61564087348971</v>
      </c>
      <c r="F21" s="27">
        <v>6.3E-2</v>
      </c>
      <c r="G21" s="28">
        <f>E21</f>
        <v>43.61564087348971</v>
      </c>
    </row>
    <row r="22" spans="1:10" x14ac:dyDescent="0.2">
      <c r="A22" s="2" t="s">
        <v>27</v>
      </c>
      <c r="B22" s="2"/>
      <c r="C22" s="21"/>
      <c r="D22" s="36">
        <f>SUM(D9:D21)</f>
        <v>40.614100000000008</v>
      </c>
      <c r="E22" s="28">
        <f t="shared" si="0"/>
        <v>100</v>
      </c>
      <c r="F22" s="21"/>
      <c r="G22" s="28"/>
    </row>
    <row r="47" spans="1:5" x14ac:dyDescent="0.2">
      <c r="A47" t="s">
        <v>28</v>
      </c>
      <c r="D47" s="2" t="s">
        <v>29</v>
      </c>
      <c r="E47" s="14">
        <v>0.125</v>
      </c>
    </row>
    <row r="48" spans="1:5" x14ac:dyDescent="0.2">
      <c r="A48" t="s">
        <v>30</v>
      </c>
      <c r="D48" s="2" t="s">
        <v>31</v>
      </c>
      <c r="E48" s="14">
        <v>0.15</v>
      </c>
    </row>
    <row r="49" spans="1:5" x14ac:dyDescent="0.2">
      <c r="A49" t="s">
        <v>32</v>
      </c>
      <c r="D49" s="2" t="s">
        <v>33</v>
      </c>
      <c r="E49" s="14">
        <v>7.4999999999999997E-2</v>
      </c>
    </row>
    <row r="50" spans="1:5" x14ac:dyDescent="0.2">
      <c r="A50" t="s">
        <v>34</v>
      </c>
      <c r="C50" t="s">
        <v>35</v>
      </c>
      <c r="E50" s="18">
        <f>E48/E49</f>
        <v>2</v>
      </c>
    </row>
    <row r="51" spans="1:5" x14ac:dyDescent="0.2">
      <c r="A51" t="s">
        <v>36</v>
      </c>
      <c r="C51" t="s">
        <v>37</v>
      </c>
      <c r="E51" s="18">
        <f>SQRT(E52/E53)</f>
        <v>1.3416407864998738</v>
      </c>
    </row>
    <row r="52" spans="1:5" x14ac:dyDescent="0.2">
      <c r="A52" t="s">
        <v>38</v>
      </c>
      <c r="D52" s="2" t="s">
        <v>39</v>
      </c>
      <c r="E52" s="14">
        <v>0.18</v>
      </c>
    </row>
    <row r="53" spans="1:5" x14ac:dyDescent="0.2">
      <c r="D53" s="2" t="s">
        <v>40</v>
      </c>
      <c r="E53" s="14">
        <v>0.1</v>
      </c>
    </row>
    <row r="56" spans="1:5" x14ac:dyDescent="0.2">
      <c r="A56" t="s">
        <v>71</v>
      </c>
      <c r="B56" t="s">
        <v>69</v>
      </c>
      <c r="C56" t="s">
        <v>70</v>
      </c>
    </row>
    <row r="57" spans="1:5" x14ac:dyDescent="0.2">
      <c r="A57">
        <f>B57/1000</f>
        <v>9.9500000000000006E-5</v>
      </c>
      <c r="B57">
        <v>9.9500000000000005E-2</v>
      </c>
      <c r="C57">
        <v>0</v>
      </c>
    </row>
    <row r="58" spans="1:5" x14ac:dyDescent="0.2">
      <c r="A58">
        <f t="shared" ref="A58:A121" si="3">B58/1000</f>
        <v>1.1300000000000001E-4</v>
      </c>
      <c r="B58">
        <v>0.113</v>
      </c>
      <c r="C58">
        <v>0</v>
      </c>
    </row>
    <row r="59" spans="1:5" x14ac:dyDescent="0.2">
      <c r="A59">
        <f t="shared" si="3"/>
        <v>1.2799999999999999E-4</v>
      </c>
      <c r="B59">
        <v>0.128</v>
      </c>
      <c r="C59">
        <v>0</v>
      </c>
    </row>
    <row r="60" spans="1:5" x14ac:dyDescent="0.2">
      <c r="A60">
        <f t="shared" si="3"/>
        <v>1.46E-4</v>
      </c>
      <c r="B60">
        <v>0.14599999999999999</v>
      </c>
      <c r="C60">
        <v>0</v>
      </c>
    </row>
    <row r="61" spans="1:5" x14ac:dyDescent="0.2">
      <c r="A61">
        <f t="shared" si="3"/>
        <v>1.66E-4</v>
      </c>
      <c r="B61">
        <v>0.16600000000000001</v>
      </c>
      <c r="C61">
        <v>0</v>
      </c>
    </row>
    <row r="62" spans="1:5" x14ac:dyDescent="0.2">
      <c r="A62">
        <f t="shared" si="3"/>
        <v>1.8799999999999999E-4</v>
      </c>
      <c r="B62">
        <v>0.188</v>
      </c>
      <c r="C62">
        <v>0</v>
      </c>
    </row>
    <row r="63" spans="1:5" x14ac:dyDescent="0.2">
      <c r="A63">
        <f t="shared" si="3"/>
        <v>2.14E-4</v>
      </c>
      <c r="B63">
        <v>0.214</v>
      </c>
      <c r="C63">
        <v>0</v>
      </c>
    </row>
    <row r="64" spans="1:5" x14ac:dyDescent="0.2">
      <c r="A64">
        <f t="shared" si="3"/>
        <v>2.43E-4</v>
      </c>
      <c r="B64">
        <v>0.24299999999999999</v>
      </c>
      <c r="C64">
        <v>0</v>
      </c>
    </row>
    <row r="65" spans="1:5" x14ac:dyDescent="0.2">
      <c r="A65">
        <f t="shared" si="3"/>
        <v>2.7600000000000004E-4</v>
      </c>
      <c r="B65">
        <v>0.27600000000000002</v>
      </c>
      <c r="C65">
        <v>0</v>
      </c>
    </row>
    <row r="66" spans="1:5" x14ac:dyDescent="0.2">
      <c r="A66">
        <f t="shared" si="3"/>
        <v>3.1399999999999999E-4</v>
      </c>
      <c r="B66">
        <v>0.314</v>
      </c>
      <c r="C66">
        <v>0</v>
      </c>
    </row>
    <row r="67" spans="1:5" x14ac:dyDescent="0.2">
      <c r="A67">
        <f t="shared" si="3"/>
        <v>3.57E-4</v>
      </c>
      <c r="B67">
        <v>0.35699999999999998</v>
      </c>
      <c r="C67">
        <v>0</v>
      </c>
    </row>
    <row r="68" spans="1:5" x14ac:dyDescent="0.2">
      <c r="A68">
        <f t="shared" si="3"/>
        <v>4.0500000000000003E-4</v>
      </c>
      <c r="B68">
        <v>0.40500000000000003</v>
      </c>
      <c r="C68">
        <v>0</v>
      </c>
    </row>
    <row r="69" spans="1:5" x14ac:dyDescent="0.2">
      <c r="A69">
        <f t="shared" si="3"/>
        <v>4.6000000000000001E-4</v>
      </c>
      <c r="B69">
        <v>0.46</v>
      </c>
      <c r="C69">
        <v>0</v>
      </c>
    </row>
    <row r="70" spans="1:5" x14ac:dyDescent="0.2">
      <c r="A70">
        <f t="shared" si="3"/>
        <v>5.2300000000000003E-4</v>
      </c>
      <c r="B70">
        <v>0.52300000000000002</v>
      </c>
      <c r="C70">
        <v>0</v>
      </c>
    </row>
    <row r="71" spans="1:5" x14ac:dyDescent="0.2">
      <c r="A71">
        <f t="shared" si="3"/>
        <v>5.9400000000000002E-4</v>
      </c>
      <c r="B71">
        <v>0.59399999999999997</v>
      </c>
      <c r="C71">
        <v>0</v>
      </c>
    </row>
    <row r="72" spans="1:5" x14ac:dyDescent="0.2">
      <c r="A72">
        <f t="shared" si="3"/>
        <v>6.7500000000000004E-4</v>
      </c>
      <c r="B72">
        <v>0.67500000000000004</v>
      </c>
      <c r="C72">
        <v>0</v>
      </c>
    </row>
    <row r="73" spans="1:5" x14ac:dyDescent="0.2">
      <c r="A73">
        <f t="shared" si="3"/>
        <v>7.67E-4</v>
      </c>
      <c r="B73">
        <v>0.76700000000000002</v>
      </c>
      <c r="C73">
        <v>0</v>
      </c>
    </row>
    <row r="74" spans="1:5" x14ac:dyDescent="0.2">
      <c r="A74">
        <f t="shared" si="3"/>
        <v>8.7199999999999995E-4</v>
      </c>
      <c r="B74">
        <v>0.872</v>
      </c>
      <c r="C74">
        <v>0</v>
      </c>
    </row>
    <row r="75" spans="1:5" x14ac:dyDescent="0.2">
      <c r="A75">
        <f t="shared" si="3"/>
        <v>9.9099999999999991E-4</v>
      </c>
      <c r="B75">
        <v>0.99099999999999999</v>
      </c>
      <c r="C75">
        <v>0</v>
      </c>
    </row>
    <row r="76" spans="1:5" x14ac:dyDescent="0.2">
      <c r="A76">
        <f t="shared" si="3"/>
        <v>1.1299999999999999E-3</v>
      </c>
      <c r="B76">
        <v>1.1299999999999999</v>
      </c>
      <c r="C76">
        <v>0.18</v>
      </c>
      <c r="D76">
        <f>C75+C76</f>
        <v>0.18</v>
      </c>
      <c r="E76">
        <f>(D76*$E$21)/100</f>
        <v>7.8508153572281469E-2</v>
      </c>
    </row>
    <row r="77" spans="1:5" x14ac:dyDescent="0.2">
      <c r="A77">
        <f t="shared" si="3"/>
        <v>1.2800000000000001E-3</v>
      </c>
      <c r="B77">
        <v>1.28</v>
      </c>
      <c r="C77">
        <v>0.47</v>
      </c>
      <c r="D77">
        <f>D76+C77</f>
        <v>0.64999999999999991</v>
      </c>
      <c r="E77">
        <f>(D77*$E$21)/100</f>
        <v>0.28350166567768309</v>
      </c>
    </row>
    <row r="78" spans="1:5" x14ac:dyDescent="0.2">
      <c r="A78">
        <f t="shared" si="3"/>
        <v>1.4499999999999999E-3</v>
      </c>
      <c r="B78">
        <v>1.45</v>
      </c>
      <c r="C78">
        <v>0.83</v>
      </c>
      <c r="D78">
        <f t="shared" ref="D78:D136" si="4">D77+C78</f>
        <v>1.48</v>
      </c>
      <c r="E78">
        <f t="shared" ref="E78:E136" si="5">(D78*$E$21)/100</f>
        <v>0.64551148492764765</v>
      </c>
    </row>
    <row r="79" spans="1:5" x14ac:dyDescent="0.2">
      <c r="A79">
        <f t="shared" si="3"/>
        <v>1.65E-3</v>
      </c>
      <c r="B79">
        <v>1.65</v>
      </c>
      <c r="C79">
        <v>1.23</v>
      </c>
      <c r="D79">
        <f t="shared" si="4"/>
        <v>2.71</v>
      </c>
      <c r="E79">
        <f t="shared" si="5"/>
        <v>1.1819838676715713</v>
      </c>
    </row>
    <row r="80" spans="1:5" x14ac:dyDescent="0.2">
      <c r="A80">
        <f t="shared" si="3"/>
        <v>1.8799999999999999E-3</v>
      </c>
      <c r="B80">
        <v>1.88</v>
      </c>
      <c r="C80">
        <v>1.61</v>
      </c>
      <c r="D80">
        <f t="shared" si="4"/>
        <v>4.32</v>
      </c>
      <c r="E80">
        <f t="shared" si="5"/>
        <v>1.8841956857347557</v>
      </c>
    </row>
    <row r="81" spans="1:5" x14ac:dyDescent="0.2">
      <c r="A81" s="49">
        <f t="shared" si="3"/>
        <v>2.1299999999999999E-3</v>
      </c>
      <c r="B81" s="49">
        <v>2.13</v>
      </c>
      <c r="C81" s="49">
        <v>1.96</v>
      </c>
      <c r="D81" s="49">
        <f t="shared" si="4"/>
        <v>6.28</v>
      </c>
      <c r="E81" s="49">
        <f t="shared" si="5"/>
        <v>2.7390622468551538</v>
      </c>
    </row>
    <row r="82" spans="1:5" x14ac:dyDescent="0.2">
      <c r="A82">
        <f t="shared" si="3"/>
        <v>2.4199999999999998E-3</v>
      </c>
      <c r="B82">
        <v>2.42</v>
      </c>
      <c r="C82">
        <v>2.31</v>
      </c>
      <c r="D82">
        <f t="shared" si="4"/>
        <v>8.59</v>
      </c>
      <c r="E82">
        <f t="shared" si="5"/>
        <v>3.7465835510327663</v>
      </c>
    </row>
    <row r="83" spans="1:5" x14ac:dyDescent="0.2">
      <c r="A83">
        <f t="shared" si="3"/>
        <v>2.7499999999999998E-3</v>
      </c>
      <c r="B83">
        <v>2.75</v>
      </c>
      <c r="C83">
        <v>2.68</v>
      </c>
      <c r="D83">
        <f t="shared" si="4"/>
        <v>11.27</v>
      </c>
      <c r="E83">
        <f t="shared" si="5"/>
        <v>4.9154827264422902</v>
      </c>
    </row>
    <row r="84" spans="1:5" x14ac:dyDescent="0.2">
      <c r="A84">
        <f t="shared" si="3"/>
        <v>3.1199999999999999E-3</v>
      </c>
      <c r="B84">
        <v>3.12</v>
      </c>
      <c r="C84">
        <v>3.07</v>
      </c>
      <c r="D84">
        <f t="shared" si="4"/>
        <v>14.34</v>
      </c>
      <c r="E84">
        <f t="shared" si="5"/>
        <v>6.2544829012584238</v>
      </c>
    </row>
    <row r="85" spans="1:5" x14ac:dyDescent="0.2">
      <c r="A85">
        <f t="shared" si="3"/>
        <v>3.5499999999999998E-3</v>
      </c>
      <c r="B85">
        <v>3.55</v>
      </c>
      <c r="C85">
        <v>3.5</v>
      </c>
      <c r="D85">
        <f t="shared" si="4"/>
        <v>17.84</v>
      </c>
      <c r="E85">
        <f t="shared" si="5"/>
        <v>7.7810303318305634</v>
      </c>
    </row>
    <row r="86" spans="1:5" x14ac:dyDescent="0.2">
      <c r="A86">
        <f t="shared" si="3"/>
        <v>4.0300000000000006E-3</v>
      </c>
      <c r="B86">
        <v>4.03</v>
      </c>
      <c r="C86">
        <v>3.93</v>
      </c>
      <c r="D86">
        <f t="shared" si="4"/>
        <v>21.77</v>
      </c>
      <c r="E86">
        <f t="shared" si="5"/>
        <v>9.4951250181587099</v>
      </c>
    </row>
    <row r="87" spans="1:5" x14ac:dyDescent="0.2">
      <c r="A87">
        <f t="shared" si="3"/>
        <v>4.5799999999999999E-3</v>
      </c>
      <c r="B87">
        <v>4.58</v>
      </c>
      <c r="C87">
        <v>4.3499999999999996</v>
      </c>
      <c r="D87">
        <f t="shared" si="4"/>
        <v>26.119999999999997</v>
      </c>
      <c r="E87">
        <f t="shared" si="5"/>
        <v>11.392405396155512</v>
      </c>
    </row>
    <row r="88" spans="1:5" x14ac:dyDescent="0.2">
      <c r="A88">
        <f t="shared" si="3"/>
        <v>5.2100000000000002E-3</v>
      </c>
      <c r="B88">
        <v>5.21</v>
      </c>
      <c r="C88">
        <v>4.71</v>
      </c>
      <c r="D88">
        <f t="shared" si="4"/>
        <v>30.83</v>
      </c>
      <c r="E88">
        <f t="shared" si="5"/>
        <v>13.446702081296875</v>
      </c>
    </row>
    <row r="89" spans="1:5" x14ac:dyDescent="0.2">
      <c r="A89">
        <f t="shared" si="3"/>
        <v>5.9199999999999999E-3</v>
      </c>
      <c r="B89">
        <v>5.92</v>
      </c>
      <c r="C89">
        <v>5.0199999999999996</v>
      </c>
      <c r="D89">
        <f t="shared" si="4"/>
        <v>35.849999999999994</v>
      </c>
      <c r="E89">
        <f t="shared" si="5"/>
        <v>15.636207253146058</v>
      </c>
    </row>
    <row r="90" spans="1:5" x14ac:dyDescent="0.2">
      <c r="A90">
        <f t="shared" si="3"/>
        <v>6.7199999999999994E-3</v>
      </c>
      <c r="B90">
        <v>6.72</v>
      </c>
      <c r="C90">
        <v>5.25</v>
      </c>
      <c r="D90">
        <f t="shared" si="4"/>
        <v>41.099999999999994</v>
      </c>
      <c r="E90">
        <f t="shared" si="5"/>
        <v>17.926028399004267</v>
      </c>
    </row>
    <row r="91" spans="1:5" x14ac:dyDescent="0.2">
      <c r="A91">
        <f t="shared" si="3"/>
        <v>7.6400000000000001E-3</v>
      </c>
      <c r="B91">
        <v>7.64</v>
      </c>
      <c r="C91">
        <v>5.4</v>
      </c>
      <c r="D91">
        <f t="shared" si="4"/>
        <v>46.499999999999993</v>
      </c>
      <c r="E91">
        <f t="shared" si="5"/>
        <v>20.281273006172711</v>
      </c>
    </row>
    <row r="92" spans="1:5" x14ac:dyDescent="0.2">
      <c r="A92">
        <f t="shared" si="3"/>
        <v>8.6800000000000002E-3</v>
      </c>
      <c r="B92">
        <v>8.68</v>
      </c>
      <c r="C92">
        <v>5.47</v>
      </c>
      <c r="D92">
        <f t="shared" si="4"/>
        <v>51.969999999999992</v>
      </c>
      <c r="E92">
        <f t="shared" si="5"/>
        <v>22.667048561952598</v>
      </c>
    </row>
    <row r="93" spans="1:5" x14ac:dyDescent="0.2">
      <c r="A93">
        <f t="shared" si="3"/>
        <v>9.859999999999999E-3</v>
      </c>
      <c r="B93">
        <v>9.86</v>
      </c>
      <c r="C93">
        <v>5.46</v>
      </c>
      <c r="D93">
        <f t="shared" si="4"/>
        <v>57.429999999999993</v>
      </c>
      <c r="E93">
        <f t="shared" si="5"/>
        <v>25.048462553645138</v>
      </c>
    </row>
    <row r="94" spans="1:5" x14ac:dyDescent="0.2">
      <c r="A94">
        <f t="shared" si="3"/>
        <v>1.12E-2</v>
      </c>
      <c r="B94">
        <v>11.2</v>
      </c>
      <c r="C94">
        <v>5.35</v>
      </c>
      <c r="D94">
        <f t="shared" si="4"/>
        <v>62.779999999999994</v>
      </c>
      <c r="E94">
        <f t="shared" si="5"/>
        <v>27.381899340376837</v>
      </c>
    </row>
    <row r="95" spans="1:5" x14ac:dyDescent="0.2">
      <c r="A95">
        <f t="shared" si="3"/>
        <v>1.2699999999999999E-2</v>
      </c>
      <c r="B95">
        <v>12.7</v>
      </c>
      <c r="C95">
        <v>5.17</v>
      </c>
      <c r="D95">
        <f t="shared" si="4"/>
        <v>67.949999999999989</v>
      </c>
      <c r="E95">
        <f t="shared" si="5"/>
        <v>29.636827973536253</v>
      </c>
    </row>
    <row r="96" spans="1:5" x14ac:dyDescent="0.2">
      <c r="A96">
        <f t="shared" si="3"/>
        <v>1.4500000000000001E-2</v>
      </c>
      <c r="B96">
        <v>14.5</v>
      </c>
      <c r="C96">
        <v>4.91</v>
      </c>
      <c r="D96">
        <f t="shared" si="4"/>
        <v>72.859999999999985</v>
      </c>
      <c r="E96">
        <f t="shared" si="5"/>
        <v>31.778355940424593</v>
      </c>
    </row>
    <row r="97" spans="1:5" x14ac:dyDescent="0.2">
      <c r="A97">
        <f t="shared" si="3"/>
        <v>1.6399999999999998E-2</v>
      </c>
      <c r="B97">
        <v>16.399999999999999</v>
      </c>
      <c r="C97">
        <v>4.58</v>
      </c>
      <c r="D97">
        <f t="shared" si="4"/>
        <v>77.439999999999984</v>
      </c>
      <c r="E97">
        <f t="shared" si="5"/>
        <v>33.775952292430425</v>
      </c>
    </row>
    <row r="98" spans="1:5" x14ac:dyDescent="0.2">
      <c r="A98">
        <f t="shared" si="3"/>
        <v>1.8699999999999998E-2</v>
      </c>
      <c r="B98">
        <v>18.7</v>
      </c>
      <c r="C98">
        <v>4.1900000000000004</v>
      </c>
      <c r="D98">
        <f t="shared" si="4"/>
        <v>81.629999999999981</v>
      </c>
      <c r="E98">
        <f t="shared" si="5"/>
        <v>35.60344764502964</v>
      </c>
    </row>
    <row r="99" spans="1:5" x14ac:dyDescent="0.2">
      <c r="A99">
        <f t="shared" si="3"/>
        <v>2.12E-2</v>
      </c>
      <c r="B99">
        <v>21.2</v>
      </c>
      <c r="C99">
        <v>3.74</v>
      </c>
      <c r="D99">
        <f t="shared" si="4"/>
        <v>85.369999999999976</v>
      </c>
      <c r="E99">
        <f t="shared" si="5"/>
        <v>37.234672613698152</v>
      </c>
    </row>
    <row r="100" spans="1:5" x14ac:dyDescent="0.2">
      <c r="A100">
        <f t="shared" si="3"/>
        <v>2.41E-2</v>
      </c>
      <c r="B100">
        <v>24.1</v>
      </c>
      <c r="C100">
        <v>3.24</v>
      </c>
      <c r="D100">
        <f t="shared" si="4"/>
        <v>88.609999999999971</v>
      </c>
      <c r="E100">
        <f t="shared" si="5"/>
        <v>38.64781937799922</v>
      </c>
    </row>
    <row r="101" spans="1:5" x14ac:dyDescent="0.2">
      <c r="A101">
        <f t="shared" si="3"/>
        <v>2.7399999999999997E-2</v>
      </c>
      <c r="B101">
        <v>27.4</v>
      </c>
      <c r="C101">
        <v>2.72</v>
      </c>
      <c r="D101">
        <f t="shared" si="4"/>
        <v>91.32999999999997</v>
      </c>
      <c r="E101">
        <f t="shared" si="5"/>
        <v>39.834164809758143</v>
      </c>
    </row>
    <row r="102" spans="1:5" x14ac:dyDescent="0.2">
      <c r="A102">
        <f t="shared" si="3"/>
        <v>3.1100000000000003E-2</v>
      </c>
      <c r="B102">
        <v>31.1</v>
      </c>
      <c r="C102">
        <v>2.21</v>
      </c>
      <c r="D102">
        <f t="shared" si="4"/>
        <v>93.539999999999964</v>
      </c>
      <c r="E102">
        <f t="shared" si="5"/>
        <v>40.798070473062261</v>
      </c>
    </row>
    <row r="103" spans="1:5" x14ac:dyDescent="0.2">
      <c r="A103">
        <f t="shared" si="3"/>
        <v>3.5299999999999998E-2</v>
      </c>
      <c r="B103">
        <v>35.299999999999997</v>
      </c>
      <c r="C103">
        <v>1.73</v>
      </c>
      <c r="D103">
        <f t="shared" si="4"/>
        <v>95.269999999999968</v>
      </c>
      <c r="E103">
        <f t="shared" si="5"/>
        <v>41.552621060173635</v>
      </c>
    </row>
    <row r="104" spans="1:5" x14ac:dyDescent="0.2">
      <c r="A104">
        <f t="shared" si="3"/>
        <v>4.0100000000000004E-2</v>
      </c>
      <c r="B104">
        <v>40.1</v>
      </c>
      <c r="C104">
        <v>1.32</v>
      </c>
      <c r="D104">
        <f t="shared" si="4"/>
        <v>96.589999999999961</v>
      </c>
      <c r="E104">
        <f t="shared" si="5"/>
        <v>42.128347519703695</v>
      </c>
    </row>
    <row r="105" spans="1:5" x14ac:dyDescent="0.2">
      <c r="A105">
        <f t="shared" si="3"/>
        <v>4.5600000000000002E-2</v>
      </c>
      <c r="B105">
        <v>45.6</v>
      </c>
      <c r="C105">
        <v>0.98</v>
      </c>
      <c r="D105">
        <f t="shared" si="4"/>
        <v>97.569999999999965</v>
      </c>
      <c r="E105">
        <f t="shared" si="5"/>
        <v>42.555780800263889</v>
      </c>
    </row>
    <row r="106" spans="1:5" x14ac:dyDescent="0.2">
      <c r="A106">
        <f t="shared" si="3"/>
        <v>5.1799999999999999E-2</v>
      </c>
      <c r="B106">
        <v>51.8</v>
      </c>
      <c r="C106">
        <v>0.72</v>
      </c>
      <c r="D106">
        <f t="shared" si="4"/>
        <v>98.289999999999964</v>
      </c>
      <c r="E106">
        <f t="shared" si="5"/>
        <v>42.869813414553022</v>
      </c>
    </row>
    <row r="107" spans="1:5" x14ac:dyDescent="0.2">
      <c r="A107">
        <f t="shared" si="3"/>
        <v>5.8900000000000001E-2</v>
      </c>
      <c r="B107">
        <v>58.9</v>
      </c>
      <c r="C107">
        <v>0.53</v>
      </c>
      <c r="D107">
        <f t="shared" si="4"/>
        <v>98.819999999999965</v>
      </c>
      <c r="E107">
        <f t="shared" si="5"/>
        <v>43.100976311182514</v>
      </c>
    </row>
    <row r="108" spans="1:5" x14ac:dyDescent="0.2">
      <c r="A108">
        <f t="shared" si="3"/>
        <v>6.6900000000000001E-2</v>
      </c>
      <c r="B108">
        <v>66.900000000000006</v>
      </c>
      <c r="C108">
        <v>0.4</v>
      </c>
      <c r="D108">
        <f t="shared" si="4"/>
        <v>99.21999999999997</v>
      </c>
      <c r="E108">
        <f t="shared" si="5"/>
        <v>43.275438874676475</v>
      </c>
    </row>
    <row r="109" spans="1:5" x14ac:dyDescent="0.2">
      <c r="A109">
        <f t="shared" si="3"/>
        <v>7.5999999999999998E-2</v>
      </c>
      <c r="B109">
        <v>76</v>
      </c>
      <c r="C109">
        <v>0.3</v>
      </c>
      <c r="D109">
        <f t="shared" si="4"/>
        <v>99.519999999999968</v>
      </c>
      <c r="E109">
        <f t="shared" si="5"/>
        <v>43.406285797296938</v>
      </c>
    </row>
    <row r="110" spans="1:5" x14ac:dyDescent="0.2">
      <c r="A110">
        <f t="shared" si="3"/>
        <v>8.6400000000000005E-2</v>
      </c>
      <c r="B110">
        <v>86.4</v>
      </c>
      <c r="C110">
        <v>0.22</v>
      </c>
      <c r="D110">
        <f t="shared" si="4"/>
        <v>99.739999999999966</v>
      </c>
      <c r="E110">
        <f t="shared" si="5"/>
        <v>43.50224020721862</v>
      </c>
    </row>
    <row r="111" spans="1:5" x14ac:dyDescent="0.2">
      <c r="A111">
        <f t="shared" si="3"/>
        <v>9.8099999999999993E-2</v>
      </c>
      <c r="B111">
        <v>98.1</v>
      </c>
      <c r="C111">
        <v>0.15</v>
      </c>
      <c r="D111">
        <f t="shared" si="4"/>
        <v>99.889999999999972</v>
      </c>
      <c r="E111">
        <f t="shared" si="5"/>
        <v>43.567663668528859</v>
      </c>
    </row>
    <row r="112" spans="1:5" x14ac:dyDescent="0.2">
      <c r="A112">
        <f t="shared" si="3"/>
        <v>0.111</v>
      </c>
      <c r="B112">
        <v>111</v>
      </c>
      <c r="C112">
        <v>0.09</v>
      </c>
      <c r="D112">
        <f t="shared" si="4"/>
        <v>99.979999999999976</v>
      </c>
      <c r="E112">
        <f t="shared" si="5"/>
        <v>43.606917745315002</v>
      </c>
    </row>
    <row r="113" spans="1:5" x14ac:dyDescent="0.2">
      <c r="A113">
        <f t="shared" si="3"/>
        <v>0.127</v>
      </c>
      <c r="B113">
        <v>127</v>
      </c>
      <c r="C113">
        <v>0</v>
      </c>
      <c r="D113">
        <f t="shared" si="4"/>
        <v>99.979999999999976</v>
      </c>
      <c r="E113">
        <f t="shared" si="5"/>
        <v>43.606917745315002</v>
      </c>
    </row>
    <row r="114" spans="1:5" x14ac:dyDescent="0.2">
      <c r="A114">
        <f t="shared" si="3"/>
        <v>0.14399999999999999</v>
      </c>
      <c r="B114">
        <v>144</v>
      </c>
      <c r="C114">
        <v>0</v>
      </c>
      <c r="D114">
        <f t="shared" si="4"/>
        <v>99.979999999999976</v>
      </c>
      <c r="E114">
        <f t="shared" si="5"/>
        <v>43.606917745315002</v>
      </c>
    </row>
    <row r="115" spans="1:5" x14ac:dyDescent="0.2">
      <c r="A115">
        <f t="shared" si="3"/>
        <v>0.16300000000000001</v>
      </c>
      <c r="B115">
        <v>163</v>
      </c>
      <c r="C115">
        <v>0</v>
      </c>
      <c r="D115">
        <f t="shared" si="4"/>
        <v>99.979999999999976</v>
      </c>
      <c r="E115">
        <f t="shared" si="5"/>
        <v>43.606917745315002</v>
      </c>
    </row>
    <row r="116" spans="1:5" x14ac:dyDescent="0.2">
      <c r="A116">
        <f t="shared" si="3"/>
        <v>0.186</v>
      </c>
      <c r="B116">
        <v>186</v>
      </c>
      <c r="C116">
        <v>0</v>
      </c>
      <c r="D116">
        <f t="shared" si="4"/>
        <v>99.979999999999976</v>
      </c>
      <c r="E116">
        <f t="shared" si="5"/>
        <v>43.606917745315002</v>
      </c>
    </row>
    <row r="117" spans="1:5" x14ac:dyDescent="0.2">
      <c r="A117">
        <f t="shared" si="3"/>
        <v>0.21099999999999999</v>
      </c>
      <c r="B117">
        <v>211</v>
      </c>
      <c r="C117">
        <v>0</v>
      </c>
      <c r="D117">
        <f t="shared" si="4"/>
        <v>99.979999999999976</v>
      </c>
      <c r="E117">
        <f t="shared" si="5"/>
        <v>43.606917745315002</v>
      </c>
    </row>
    <row r="118" spans="1:5" x14ac:dyDescent="0.2">
      <c r="A118">
        <f t="shared" si="3"/>
        <v>0.24</v>
      </c>
      <c r="B118">
        <v>240</v>
      </c>
      <c r="C118">
        <v>0</v>
      </c>
      <c r="D118">
        <f t="shared" si="4"/>
        <v>99.979999999999976</v>
      </c>
      <c r="E118">
        <f t="shared" si="5"/>
        <v>43.606917745315002</v>
      </c>
    </row>
    <row r="119" spans="1:5" x14ac:dyDescent="0.2">
      <c r="A119">
        <f t="shared" si="3"/>
        <v>0.27200000000000002</v>
      </c>
      <c r="B119">
        <v>272</v>
      </c>
      <c r="C119">
        <v>0</v>
      </c>
      <c r="D119">
        <f t="shared" si="4"/>
        <v>99.979999999999976</v>
      </c>
      <c r="E119">
        <f t="shared" si="5"/>
        <v>43.606917745315002</v>
      </c>
    </row>
    <row r="120" spans="1:5" x14ac:dyDescent="0.2">
      <c r="A120">
        <f t="shared" si="3"/>
        <v>0.31</v>
      </c>
      <c r="B120">
        <v>310</v>
      </c>
      <c r="C120">
        <v>0</v>
      </c>
      <c r="D120">
        <f t="shared" si="4"/>
        <v>99.979999999999976</v>
      </c>
      <c r="E120">
        <f t="shared" si="5"/>
        <v>43.606917745315002</v>
      </c>
    </row>
    <row r="121" spans="1:5" x14ac:dyDescent="0.2">
      <c r="A121">
        <f t="shared" si="3"/>
        <v>0.35199999999999998</v>
      </c>
      <c r="B121">
        <v>352</v>
      </c>
      <c r="C121">
        <v>0</v>
      </c>
      <c r="D121">
        <f t="shared" si="4"/>
        <v>99.979999999999976</v>
      </c>
      <c r="E121">
        <f t="shared" si="5"/>
        <v>43.606917745315002</v>
      </c>
    </row>
    <row r="122" spans="1:5" x14ac:dyDescent="0.2">
      <c r="A122">
        <f t="shared" ref="A122:A136" si="6">B122/1000</f>
        <v>0.4</v>
      </c>
      <c r="B122">
        <v>400</v>
      </c>
      <c r="C122">
        <v>0</v>
      </c>
      <c r="D122">
        <f t="shared" si="4"/>
        <v>99.979999999999976</v>
      </c>
      <c r="E122">
        <f t="shared" si="5"/>
        <v>43.606917745315002</v>
      </c>
    </row>
    <row r="123" spans="1:5" x14ac:dyDescent="0.2">
      <c r="A123">
        <f t="shared" si="6"/>
        <v>0.45400000000000001</v>
      </c>
      <c r="B123">
        <v>454</v>
      </c>
      <c r="C123">
        <v>0</v>
      </c>
      <c r="D123">
        <f t="shared" si="4"/>
        <v>99.979999999999976</v>
      </c>
      <c r="E123">
        <f t="shared" si="5"/>
        <v>43.606917745315002</v>
      </c>
    </row>
    <row r="124" spans="1:5" x14ac:dyDescent="0.2">
      <c r="A124">
        <f t="shared" si="6"/>
        <v>0.51600000000000001</v>
      </c>
      <c r="B124">
        <v>516</v>
      </c>
      <c r="C124">
        <v>0</v>
      </c>
      <c r="D124">
        <f t="shared" si="4"/>
        <v>99.979999999999976</v>
      </c>
      <c r="E124">
        <f t="shared" si="5"/>
        <v>43.606917745315002</v>
      </c>
    </row>
    <row r="125" spans="1:5" x14ac:dyDescent="0.2">
      <c r="A125">
        <f t="shared" si="6"/>
        <v>0.58599999999999997</v>
      </c>
      <c r="B125">
        <v>586</v>
      </c>
      <c r="C125">
        <v>0</v>
      </c>
      <c r="D125">
        <f t="shared" si="4"/>
        <v>99.979999999999976</v>
      </c>
      <c r="E125">
        <f t="shared" si="5"/>
        <v>43.606917745315002</v>
      </c>
    </row>
    <row r="126" spans="1:5" x14ac:dyDescent="0.2">
      <c r="A126">
        <f t="shared" si="6"/>
        <v>0.66600000000000004</v>
      </c>
      <c r="B126">
        <v>666</v>
      </c>
      <c r="C126">
        <v>0</v>
      </c>
      <c r="D126">
        <f t="shared" si="4"/>
        <v>99.979999999999976</v>
      </c>
      <c r="E126">
        <f t="shared" si="5"/>
        <v>43.606917745315002</v>
      </c>
    </row>
    <row r="127" spans="1:5" x14ac:dyDescent="0.2">
      <c r="A127">
        <f t="shared" si="6"/>
        <v>0.75600000000000001</v>
      </c>
      <c r="B127">
        <v>756</v>
      </c>
      <c r="C127">
        <v>0</v>
      </c>
      <c r="D127">
        <f t="shared" si="4"/>
        <v>99.979999999999976</v>
      </c>
      <c r="E127">
        <f t="shared" si="5"/>
        <v>43.606917745315002</v>
      </c>
    </row>
    <row r="128" spans="1:5" x14ac:dyDescent="0.2">
      <c r="A128">
        <f t="shared" si="6"/>
        <v>0.85899999999999999</v>
      </c>
      <c r="B128">
        <v>859</v>
      </c>
      <c r="C128">
        <v>0</v>
      </c>
      <c r="D128">
        <f t="shared" si="4"/>
        <v>99.979999999999976</v>
      </c>
      <c r="E128">
        <f t="shared" si="5"/>
        <v>43.606917745315002</v>
      </c>
    </row>
    <row r="129" spans="1:5" x14ac:dyDescent="0.2">
      <c r="A129">
        <f t="shared" si="6"/>
        <v>0.97599999999999998</v>
      </c>
      <c r="B129">
        <v>976</v>
      </c>
      <c r="C129">
        <v>0</v>
      </c>
      <c r="D129">
        <f t="shared" si="4"/>
        <v>99.979999999999976</v>
      </c>
      <c r="E129">
        <f t="shared" si="5"/>
        <v>43.606917745315002</v>
      </c>
    </row>
    <row r="130" spans="1:5" x14ac:dyDescent="0.2">
      <c r="A130">
        <f t="shared" si="6"/>
        <v>1.1100000000000001</v>
      </c>
      <c r="B130">
        <v>1110</v>
      </c>
      <c r="C130">
        <v>0</v>
      </c>
      <c r="D130">
        <f t="shared" si="4"/>
        <v>99.979999999999976</v>
      </c>
      <c r="E130">
        <f t="shared" si="5"/>
        <v>43.606917745315002</v>
      </c>
    </row>
    <row r="131" spans="1:5" x14ac:dyDescent="0.2">
      <c r="A131">
        <f t="shared" si="6"/>
        <v>1.26</v>
      </c>
      <c r="B131">
        <v>1260</v>
      </c>
      <c r="C131">
        <v>0</v>
      </c>
      <c r="D131">
        <f t="shared" si="4"/>
        <v>99.979999999999976</v>
      </c>
      <c r="E131">
        <f t="shared" si="5"/>
        <v>43.606917745315002</v>
      </c>
    </row>
    <row r="132" spans="1:5" x14ac:dyDescent="0.2">
      <c r="A132">
        <f t="shared" si="6"/>
        <v>1.43</v>
      </c>
      <c r="B132">
        <v>1430</v>
      </c>
      <c r="C132">
        <v>0</v>
      </c>
      <c r="D132">
        <f t="shared" si="4"/>
        <v>99.979999999999976</v>
      </c>
      <c r="E132">
        <f t="shared" si="5"/>
        <v>43.606917745315002</v>
      </c>
    </row>
    <row r="133" spans="1:5" x14ac:dyDescent="0.2">
      <c r="A133">
        <f t="shared" si="6"/>
        <v>1.63</v>
      </c>
      <c r="B133">
        <v>1630</v>
      </c>
      <c r="C133">
        <v>0</v>
      </c>
      <c r="D133">
        <f t="shared" si="4"/>
        <v>99.979999999999976</v>
      </c>
      <c r="E133">
        <f t="shared" si="5"/>
        <v>43.606917745315002</v>
      </c>
    </row>
    <row r="134" spans="1:5" x14ac:dyDescent="0.2">
      <c r="A134">
        <f t="shared" si="6"/>
        <v>1.85</v>
      </c>
      <c r="B134">
        <v>1850</v>
      </c>
      <c r="C134">
        <v>0</v>
      </c>
      <c r="D134">
        <f t="shared" si="4"/>
        <v>99.979999999999976</v>
      </c>
      <c r="E134">
        <f t="shared" si="5"/>
        <v>43.606917745315002</v>
      </c>
    </row>
    <row r="135" spans="1:5" x14ac:dyDescent="0.2">
      <c r="A135">
        <f t="shared" si="6"/>
        <v>2.1</v>
      </c>
      <c r="B135">
        <v>2100</v>
      </c>
      <c r="C135">
        <v>0</v>
      </c>
      <c r="D135">
        <f t="shared" si="4"/>
        <v>99.979999999999976</v>
      </c>
      <c r="E135">
        <f t="shared" si="5"/>
        <v>43.606917745315002</v>
      </c>
    </row>
    <row r="136" spans="1:5" x14ac:dyDescent="0.2">
      <c r="A136">
        <f t="shared" si="6"/>
        <v>2.39</v>
      </c>
      <c r="B136">
        <v>2390</v>
      </c>
      <c r="C136">
        <v>0</v>
      </c>
      <c r="D136">
        <f t="shared" si="4"/>
        <v>99.979999999999976</v>
      </c>
      <c r="E136">
        <f t="shared" si="5"/>
        <v>43.606917745315002</v>
      </c>
    </row>
  </sheetData>
  <pageMargins left="0.39370078740157483" right="0.39370078740157483" top="0.98425196850393704" bottom="0.98425196850393704" header="0.51181102362204722" footer="0.51181102362204722"/>
  <pageSetup paperSize="9" orientation="portrait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8EEE7-8F29-4CEE-BC9B-10BC0302ED54}">
  <dimension ref="A1:J137"/>
  <sheetViews>
    <sheetView topLeftCell="A3" zoomScale="93" workbookViewId="0">
      <selection activeCell="I11" sqref="I11:J18"/>
    </sheetView>
  </sheetViews>
  <sheetFormatPr defaultRowHeight="12.75" x14ac:dyDescent="0.2"/>
  <cols>
    <col min="1" max="1" width="14" customWidth="1"/>
    <col min="2" max="3" width="13.85546875" customWidth="1"/>
    <col min="4" max="4" width="14.28515625" bestFit="1" customWidth="1"/>
    <col min="5" max="6" width="10.7109375" customWidth="1"/>
    <col min="7" max="7" width="15.85546875" customWidth="1"/>
    <col min="8" max="8" width="3.140625" customWidth="1"/>
    <col min="9" max="9" width="18.42578125" bestFit="1" customWidth="1"/>
  </cols>
  <sheetData>
    <row r="1" spans="1:10" ht="18" x14ac:dyDescent="0.25">
      <c r="A1" s="6" t="s">
        <v>0</v>
      </c>
      <c r="B1" s="6"/>
    </row>
    <row r="2" spans="1:10" ht="15.75" x14ac:dyDescent="0.25">
      <c r="A2" s="1"/>
    </row>
    <row r="3" spans="1:10" x14ac:dyDescent="0.2">
      <c r="A3" s="3" t="s">
        <v>1</v>
      </c>
      <c r="B3" s="38">
        <v>54</v>
      </c>
      <c r="C3" s="4"/>
      <c r="D3" s="4"/>
      <c r="E3" s="4"/>
    </row>
    <row r="4" spans="1:10" x14ac:dyDescent="0.2">
      <c r="A4" s="7" t="s">
        <v>2</v>
      </c>
      <c r="B4" s="43"/>
      <c r="C4" s="45" t="s">
        <v>3</v>
      </c>
      <c r="D4" s="35" t="s">
        <v>68</v>
      </c>
      <c r="E4" s="46" t="s">
        <v>5</v>
      </c>
      <c r="G4" s="37"/>
    </row>
    <row r="5" spans="1:10" x14ac:dyDescent="0.2">
      <c r="A5" s="7" t="s">
        <v>6</v>
      </c>
      <c r="B5" s="47"/>
      <c r="C5" s="44">
        <f>J11-J13</f>
        <v>52.648399999999995</v>
      </c>
      <c r="D5" s="10" t="s">
        <v>7</v>
      </c>
      <c r="E5" s="16"/>
      <c r="G5" s="37"/>
    </row>
    <row r="6" spans="1:10" x14ac:dyDescent="0.2">
      <c r="A6" s="12" t="s">
        <v>8</v>
      </c>
      <c r="B6" s="19">
        <f>100-(D22/C5*100)</f>
        <v>-34.948830353818977</v>
      </c>
      <c r="C6" s="5">
        <v>0</v>
      </c>
      <c r="D6" s="13"/>
      <c r="E6" s="5"/>
      <c r="F6" s="9"/>
    </row>
    <row r="7" spans="1:10" ht="14.25" customHeight="1" x14ac:dyDescent="0.2">
      <c r="A7" s="20" t="s">
        <v>9</v>
      </c>
      <c r="B7" s="32" t="s">
        <v>10</v>
      </c>
      <c r="C7" s="22" t="s">
        <v>11</v>
      </c>
      <c r="D7" s="22" t="s">
        <v>12</v>
      </c>
      <c r="E7" s="23" t="s">
        <v>13</v>
      </c>
      <c r="F7" s="23"/>
      <c r="G7" s="22" t="s">
        <v>14</v>
      </c>
    </row>
    <row r="8" spans="1:10" ht="14.25" customHeight="1" x14ac:dyDescent="0.2">
      <c r="A8" s="24" t="s">
        <v>15</v>
      </c>
      <c r="B8" s="33" t="s">
        <v>16</v>
      </c>
      <c r="C8" s="25" t="s">
        <v>16</v>
      </c>
      <c r="D8" s="25" t="s">
        <v>17</v>
      </c>
      <c r="E8" s="26" t="s">
        <v>18</v>
      </c>
      <c r="F8" s="26" t="s">
        <v>19</v>
      </c>
      <c r="G8" s="25" t="s">
        <v>18</v>
      </c>
    </row>
    <row r="9" spans="1:10" ht="14.25" customHeight="1" x14ac:dyDescent="0.2">
      <c r="A9" s="21"/>
      <c r="B9" s="29"/>
      <c r="C9" s="29"/>
      <c r="D9" s="30"/>
      <c r="E9" s="28">
        <f t="shared" ref="E9:E22" si="0">D9/$D$22*100</f>
        <v>0</v>
      </c>
      <c r="F9" s="21"/>
      <c r="G9" s="30"/>
    </row>
    <row r="10" spans="1:10" ht="14.25" customHeight="1" x14ac:dyDescent="0.2">
      <c r="A10" s="21"/>
      <c r="B10" s="21"/>
      <c r="C10" s="21"/>
      <c r="D10" s="31">
        <f>B10-C10</f>
        <v>0</v>
      </c>
      <c r="E10" s="28">
        <f t="shared" si="0"/>
        <v>0</v>
      </c>
      <c r="F10" s="21"/>
      <c r="G10" s="28">
        <f t="shared" ref="G10:G20" si="1">G11+E10</f>
        <v>100</v>
      </c>
    </row>
    <row r="11" spans="1:10" ht="14.25" customHeight="1" x14ac:dyDescent="0.2">
      <c r="A11" s="21"/>
      <c r="B11" s="21"/>
      <c r="C11" s="21"/>
      <c r="D11" s="31">
        <f t="shared" ref="D11:D21" si="2">B11-C11</f>
        <v>0</v>
      </c>
      <c r="E11" s="28">
        <f t="shared" si="0"/>
        <v>0</v>
      </c>
      <c r="F11" s="21"/>
      <c r="G11" s="28">
        <f t="shared" si="1"/>
        <v>100</v>
      </c>
      <c r="I11" s="41" t="s">
        <v>20</v>
      </c>
      <c r="J11">
        <v>58.848399999999998</v>
      </c>
    </row>
    <row r="12" spans="1:10" x14ac:dyDescent="0.2">
      <c r="A12" s="27">
        <v>2</v>
      </c>
      <c r="B12" s="28">
        <v>137</v>
      </c>
      <c r="C12" s="48">
        <v>136</v>
      </c>
      <c r="D12" s="34">
        <f t="shared" si="2"/>
        <v>1</v>
      </c>
      <c r="E12" s="28">
        <f t="shared" si="0"/>
        <v>1.4074912313296284</v>
      </c>
      <c r="F12" s="21">
        <v>6.3</v>
      </c>
      <c r="G12" s="28">
        <f t="shared" si="1"/>
        <v>100</v>
      </c>
      <c r="I12" t="s">
        <v>21</v>
      </c>
      <c r="J12">
        <v>32.799999999999997</v>
      </c>
    </row>
    <row r="13" spans="1:10" x14ac:dyDescent="0.2">
      <c r="A13" s="27">
        <v>1</v>
      </c>
      <c r="B13" s="28">
        <v>120.3</v>
      </c>
      <c r="C13" s="28">
        <v>118.7</v>
      </c>
      <c r="D13" s="34">
        <f t="shared" si="2"/>
        <v>1.5999999999999943</v>
      </c>
      <c r="E13" s="28">
        <f t="shared" si="0"/>
        <v>2.2519859701273974</v>
      </c>
      <c r="F13" s="27">
        <v>2</v>
      </c>
      <c r="G13" s="28">
        <f t="shared" si="1"/>
        <v>98.592508768670371</v>
      </c>
      <c r="I13" s="40" t="s">
        <v>22</v>
      </c>
      <c r="J13" s="40">
        <v>6.2</v>
      </c>
    </row>
    <row r="14" spans="1:10" x14ac:dyDescent="0.2">
      <c r="A14" s="27">
        <v>0.6</v>
      </c>
      <c r="B14" s="28">
        <v>119.6</v>
      </c>
      <c r="C14" s="28">
        <v>117.3</v>
      </c>
      <c r="D14" s="34">
        <f t="shared" si="2"/>
        <v>2.2999999999999972</v>
      </c>
      <c r="E14" s="28">
        <f t="shared" si="0"/>
        <v>3.2372298320581416</v>
      </c>
      <c r="F14" s="27">
        <v>1</v>
      </c>
      <c r="G14" s="28">
        <f t="shared" si="1"/>
        <v>96.340522798542978</v>
      </c>
      <c r="I14" t="s">
        <v>21</v>
      </c>
      <c r="J14" s="40">
        <f>J12-J13</f>
        <v>26.599999999999998</v>
      </c>
    </row>
    <row r="15" spans="1:10" x14ac:dyDescent="0.2">
      <c r="A15" s="27">
        <v>0.35499999999999998</v>
      </c>
      <c r="B15" s="28">
        <v>112.4</v>
      </c>
      <c r="C15" s="28">
        <v>106.9</v>
      </c>
      <c r="D15" s="34">
        <f t="shared" si="2"/>
        <v>5.5</v>
      </c>
      <c r="E15" s="28">
        <f t="shared" si="0"/>
        <v>7.7412017723129569</v>
      </c>
      <c r="F15" s="27">
        <v>0.6</v>
      </c>
      <c r="G15" s="28">
        <f t="shared" si="1"/>
        <v>93.10329296648483</v>
      </c>
      <c r="I15" s="42" t="s">
        <v>23</v>
      </c>
      <c r="J15" s="40">
        <f>B21-C21</f>
        <v>2</v>
      </c>
    </row>
    <row r="16" spans="1:10" x14ac:dyDescent="0.2">
      <c r="A16" s="27">
        <v>0.25</v>
      </c>
      <c r="B16" s="28">
        <v>111.2</v>
      </c>
      <c r="C16" s="28">
        <v>105.5</v>
      </c>
      <c r="D16" s="34">
        <f t="shared" si="2"/>
        <v>5.7000000000000028</v>
      </c>
      <c r="E16" s="28">
        <f t="shared" si="0"/>
        <v>8.0227000185788864</v>
      </c>
      <c r="F16" s="27">
        <v>0.35499999999999998</v>
      </c>
      <c r="G16" s="28">
        <f t="shared" si="1"/>
        <v>85.362091194171867</v>
      </c>
      <c r="I16" s="42" t="s">
        <v>24</v>
      </c>
      <c r="J16" s="40">
        <f>(J11-J14)+J15</f>
        <v>34.248400000000004</v>
      </c>
    </row>
    <row r="17" spans="1:10" x14ac:dyDescent="0.2">
      <c r="A17" s="27">
        <v>0.18</v>
      </c>
      <c r="B17" s="28">
        <v>108.7</v>
      </c>
      <c r="C17" s="28">
        <v>104.3</v>
      </c>
      <c r="D17" s="34">
        <f t="shared" si="2"/>
        <v>4.4000000000000057</v>
      </c>
      <c r="E17" s="28">
        <f t="shared" si="0"/>
        <v>6.1929614178503734</v>
      </c>
      <c r="F17" s="27">
        <v>0.25</v>
      </c>
      <c r="G17" s="28">
        <f t="shared" si="1"/>
        <v>77.339391175592979</v>
      </c>
      <c r="I17" s="42" t="s">
        <v>25</v>
      </c>
      <c r="J17" s="40">
        <f>C21</f>
        <v>76.5</v>
      </c>
    </row>
    <row r="18" spans="1:10" x14ac:dyDescent="0.2">
      <c r="A18" s="27">
        <v>0.125</v>
      </c>
      <c r="B18" s="28">
        <v>109.7</v>
      </c>
      <c r="C18" s="28">
        <v>103.6</v>
      </c>
      <c r="D18" s="34">
        <f t="shared" si="2"/>
        <v>6.1000000000000085</v>
      </c>
      <c r="E18" s="28">
        <f t="shared" si="0"/>
        <v>8.5856965111107471</v>
      </c>
      <c r="F18" s="27">
        <v>0.18</v>
      </c>
      <c r="G18" s="28">
        <f t="shared" si="1"/>
        <v>71.146429757742609</v>
      </c>
      <c r="I18" s="42" t="s">
        <v>26</v>
      </c>
      <c r="J18" s="40">
        <f>J16+J17</f>
        <v>110.7484</v>
      </c>
    </row>
    <row r="19" spans="1:10" x14ac:dyDescent="0.2">
      <c r="A19" s="27">
        <v>0.09</v>
      </c>
      <c r="B19" s="28">
        <v>108.9</v>
      </c>
      <c r="C19" s="28">
        <v>104.4</v>
      </c>
      <c r="D19" s="34">
        <f t="shared" si="2"/>
        <v>4.5</v>
      </c>
      <c r="E19" s="28">
        <f t="shared" si="0"/>
        <v>6.3337105409833283</v>
      </c>
      <c r="F19" s="27">
        <v>0.125</v>
      </c>
      <c r="G19" s="28">
        <f t="shared" si="1"/>
        <v>62.560733246631862</v>
      </c>
    </row>
    <row r="20" spans="1:10" x14ac:dyDescent="0.2">
      <c r="A20" s="27">
        <v>6.3E-2</v>
      </c>
      <c r="B20" s="28">
        <v>107.8</v>
      </c>
      <c r="C20" s="28">
        <v>104.1</v>
      </c>
      <c r="D20" s="34">
        <f t="shared" si="2"/>
        <v>3.7000000000000028</v>
      </c>
      <c r="E20" s="28">
        <f t="shared" si="0"/>
        <v>5.20771755591963</v>
      </c>
      <c r="F20" s="27">
        <v>0.09</v>
      </c>
      <c r="G20" s="28">
        <f t="shared" si="1"/>
        <v>56.227022705648537</v>
      </c>
    </row>
    <row r="21" spans="1:10" x14ac:dyDescent="0.2">
      <c r="A21" s="2" t="s">
        <v>25</v>
      </c>
      <c r="B21" s="28">
        <v>78.5</v>
      </c>
      <c r="C21" s="28">
        <v>76.5</v>
      </c>
      <c r="D21" s="34">
        <f>(B21-C21)+J16</f>
        <v>36.248400000000004</v>
      </c>
      <c r="E21" s="28">
        <f t="shared" si="0"/>
        <v>51.019305149728908</v>
      </c>
      <c r="F21" s="27">
        <v>6.3E-2</v>
      </c>
      <c r="G21" s="28">
        <f>E21</f>
        <v>51.019305149728908</v>
      </c>
    </row>
    <row r="22" spans="1:10" x14ac:dyDescent="0.2">
      <c r="A22" s="2" t="s">
        <v>27</v>
      </c>
      <c r="B22" s="2"/>
      <c r="C22" s="21"/>
      <c r="D22" s="36">
        <f>SUM(D9:D21)</f>
        <v>71.048400000000015</v>
      </c>
      <c r="E22" s="28">
        <f t="shared" si="0"/>
        <v>100</v>
      </c>
      <c r="F22" s="21"/>
      <c r="G22" s="28"/>
    </row>
    <row r="47" spans="1:5" x14ac:dyDescent="0.2">
      <c r="A47" t="s">
        <v>28</v>
      </c>
      <c r="D47" s="2" t="s">
        <v>29</v>
      </c>
      <c r="E47" s="14">
        <v>0.125</v>
      </c>
    </row>
    <row r="48" spans="1:5" x14ac:dyDescent="0.2">
      <c r="A48" t="s">
        <v>30</v>
      </c>
      <c r="D48" s="2" t="s">
        <v>31</v>
      </c>
      <c r="E48" s="14">
        <v>0.15</v>
      </c>
    </row>
    <row r="49" spans="1:5" x14ac:dyDescent="0.2">
      <c r="A49" t="s">
        <v>32</v>
      </c>
      <c r="D49" s="2" t="s">
        <v>33</v>
      </c>
      <c r="E49" s="14">
        <v>7.4999999999999997E-2</v>
      </c>
    </row>
    <row r="50" spans="1:5" x14ac:dyDescent="0.2">
      <c r="A50" t="s">
        <v>34</v>
      </c>
      <c r="C50" t="s">
        <v>35</v>
      </c>
      <c r="E50" s="18">
        <f>E48/E49</f>
        <v>2</v>
      </c>
    </row>
    <row r="51" spans="1:5" x14ac:dyDescent="0.2">
      <c r="A51" t="s">
        <v>36</v>
      </c>
      <c r="C51" t="s">
        <v>37</v>
      </c>
      <c r="E51" s="18">
        <f>SQRT(E52/E53)</f>
        <v>1.3416407864998738</v>
      </c>
    </row>
    <row r="52" spans="1:5" x14ac:dyDescent="0.2">
      <c r="A52" t="s">
        <v>38</v>
      </c>
      <c r="D52" s="2" t="s">
        <v>39</v>
      </c>
      <c r="E52" s="14">
        <v>0.18</v>
      </c>
    </row>
    <row r="53" spans="1:5" x14ac:dyDescent="0.2">
      <c r="D53" s="2" t="s">
        <v>40</v>
      </c>
      <c r="E53" s="14">
        <v>0.1</v>
      </c>
    </row>
    <row r="57" spans="1:5" x14ac:dyDescent="0.2">
      <c r="A57" t="s">
        <v>71</v>
      </c>
      <c r="B57" t="s">
        <v>69</v>
      </c>
      <c r="C57" t="s">
        <v>70</v>
      </c>
    </row>
    <row r="58" spans="1:5" x14ac:dyDescent="0.2">
      <c r="A58">
        <f>B58/1000</f>
        <v>9.9500000000000006E-5</v>
      </c>
      <c r="B58">
        <v>9.9500000000000005E-2</v>
      </c>
      <c r="C58">
        <v>0</v>
      </c>
    </row>
    <row r="59" spans="1:5" x14ac:dyDescent="0.2">
      <c r="A59">
        <f t="shared" ref="A59:A122" si="3">B59/1000</f>
        <v>1.1300000000000001E-4</v>
      </c>
      <c r="B59">
        <v>0.113</v>
      </c>
      <c r="C59">
        <v>0</v>
      </c>
    </row>
    <row r="60" spans="1:5" x14ac:dyDescent="0.2">
      <c r="A60">
        <f t="shared" si="3"/>
        <v>1.2799999999999999E-4</v>
      </c>
      <c r="B60">
        <v>0.128</v>
      </c>
      <c r="C60">
        <v>0</v>
      </c>
    </row>
    <row r="61" spans="1:5" x14ac:dyDescent="0.2">
      <c r="A61">
        <f t="shared" si="3"/>
        <v>1.46E-4</v>
      </c>
      <c r="B61">
        <v>0.14599999999999999</v>
      </c>
      <c r="C61">
        <v>0</v>
      </c>
    </row>
    <row r="62" spans="1:5" x14ac:dyDescent="0.2">
      <c r="A62">
        <f t="shared" si="3"/>
        <v>1.66E-4</v>
      </c>
      <c r="B62">
        <v>0.16600000000000001</v>
      </c>
      <c r="C62">
        <v>0</v>
      </c>
    </row>
    <row r="63" spans="1:5" x14ac:dyDescent="0.2">
      <c r="A63">
        <f t="shared" si="3"/>
        <v>1.8799999999999999E-4</v>
      </c>
      <c r="B63">
        <v>0.188</v>
      </c>
      <c r="C63">
        <v>0</v>
      </c>
    </row>
    <row r="64" spans="1:5" x14ac:dyDescent="0.2">
      <c r="A64">
        <f t="shared" si="3"/>
        <v>2.14E-4</v>
      </c>
      <c r="B64">
        <v>0.214</v>
      </c>
      <c r="C64">
        <v>0</v>
      </c>
    </row>
    <row r="65" spans="1:5" x14ac:dyDescent="0.2">
      <c r="A65">
        <f t="shared" si="3"/>
        <v>2.43E-4</v>
      </c>
      <c r="B65">
        <v>0.24299999999999999</v>
      </c>
      <c r="C65">
        <v>0</v>
      </c>
    </row>
    <row r="66" spans="1:5" x14ac:dyDescent="0.2">
      <c r="A66">
        <f t="shared" si="3"/>
        <v>2.7600000000000004E-4</v>
      </c>
      <c r="B66">
        <v>0.27600000000000002</v>
      </c>
      <c r="C66">
        <v>0</v>
      </c>
    </row>
    <row r="67" spans="1:5" x14ac:dyDescent="0.2">
      <c r="A67">
        <f t="shared" si="3"/>
        <v>3.1399999999999999E-4</v>
      </c>
      <c r="B67">
        <v>0.314</v>
      </c>
      <c r="C67">
        <v>0</v>
      </c>
    </row>
    <row r="68" spans="1:5" x14ac:dyDescent="0.2">
      <c r="A68">
        <f t="shared" si="3"/>
        <v>3.57E-4</v>
      </c>
      <c r="B68">
        <v>0.35699999999999998</v>
      </c>
      <c r="C68">
        <v>0</v>
      </c>
    </row>
    <row r="69" spans="1:5" x14ac:dyDescent="0.2">
      <c r="A69">
        <f t="shared" si="3"/>
        <v>4.0500000000000003E-4</v>
      </c>
      <c r="B69">
        <v>0.40500000000000003</v>
      </c>
      <c r="C69">
        <v>0</v>
      </c>
    </row>
    <row r="70" spans="1:5" x14ac:dyDescent="0.2">
      <c r="A70">
        <f t="shared" si="3"/>
        <v>4.6000000000000001E-4</v>
      </c>
      <c r="B70">
        <v>0.46</v>
      </c>
      <c r="C70">
        <v>0</v>
      </c>
    </row>
    <row r="71" spans="1:5" x14ac:dyDescent="0.2">
      <c r="A71">
        <f t="shared" si="3"/>
        <v>5.2300000000000003E-4</v>
      </c>
      <c r="B71">
        <v>0.52300000000000002</v>
      </c>
      <c r="C71">
        <v>0</v>
      </c>
    </row>
    <row r="72" spans="1:5" x14ac:dyDescent="0.2">
      <c r="A72">
        <f t="shared" si="3"/>
        <v>5.9400000000000002E-4</v>
      </c>
      <c r="B72">
        <v>0.59399999999999997</v>
      </c>
      <c r="C72">
        <v>0</v>
      </c>
    </row>
    <row r="73" spans="1:5" x14ac:dyDescent="0.2">
      <c r="A73">
        <f t="shared" si="3"/>
        <v>6.7500000000000004E-4</v>
      </c>
      <c r="B73">
        <v>0.67500000000000004</v>
      </c>
      <c r="C73">
        <v>0</v>
      </c>
    </row>
    <row r="74" spans="1:5" x14ac:dyDescent="0.2">
      <c r="A74">
        <f t="shared" si="3"/>
        <v>7.67E-4</v>
      </c>
      <c r="B74">
        <v>0.76700000000000002</v>
      </c>
      <c r="C74">
        <v>0</v>
      </c>
    </row>
    <row r="75" spans="1:5" x14ac:dyDescent="0.2">
      <c r="A75">
        <f t="shared" si="3"/>
        <v>8.7199999999999995E-4</v>
      </c>
      <c r="B75">
        <v>0.872</v>
      </c>
      <c r="C75">
        <v>0.14000000000000001</v>
      </c>
      <c r="D75">
        <f>C74+C75</f>
        <v>0.14000000000000001</v>
      </c>
      <c r="E75">
        <f>(D75*$E$21)/100</f>
        <v>7.1427027209620478E-2</v>
      </c>
    </row>
    <row r="76" spans="1:5" x14ac:dyDescent="0.2">
      <c r="A76">
        <f t="shared" si="3"/>
        <v>9.9099999999999991E-4</v>
      </c>
      <c r="B76">
        <v>0.99099999999999999</v>
      </c>
      <c r="C76">
        <v>0.35</v>
      </c>
      <c r="D76">
        <f>D75+C76</f>
        <v>0.49</v>
      </c>
      <c r="E76">
        <f>(D76*$E$21)/100</f>
        <v>0.24999459523367165</v>
      </c>
    </row>
    <row r="77" spans="1:5" x14ac:dyDescent="0.2">
      <c r="A77">
        <f t="shared" si="3"/>
        <v>1.1299999999999999E-3</v>
      </c>
      <c r="B77">
        <v>1.1299999999999999</v>
      </c>
      <c r="C77">
        <v>0.65</v>
      </c>
      <c r="D77">
        <f t="shared" ref="D77:D137" si="4">D76+C77</f>
        <v>1.1400000000000001</v>
      </c>
      <c r="E77">
        <f t="shared" ref="E77:E137" si="5">(D77*$E$21)/100</f>
        <v>0.58162007870690968</v>
      </c>
    </row>
    <row r="78" spans="1:5" x14ac:dyDescent="0.2">
      <c r="A78">
        <f t="shared" si="3"/>
        <v>1.2800000000000001E-3</v>
      </c>
      <c r="B78">
        <v>1.28</v>
      </c>
      <c r="C78">
        <v>1.03</v>
      </c>
      <c r="D78">
        <f t="shared" si="4"/>
        <v>2.17</v>
      </c>
      <c r="E78">
        <f t="shared" si="5"/>
        <v>1.1071189217491173</v>
      </c>
    </row>
    <row r="79" spans="1:5" x14ac:dyDescent="0.2">
      <c r="A79">
        <f t="shared" si="3"/>
        <v>1.4499999999999999E-3</v>
      </c>
      <c r="B79">
        <v>1.45</v>
      </c>
      <c r="C79">
        <v>1.47</v>
      </c>
      <c r="D79">
        <f t="shared" si="4"/>
        <v>3.6399999999999997</v>
      </c>
      <c r="E79">
        <f t="shared" si="5"/>
        <v>1.8571027074501323</v>
      </c>
    </row>
    <row r="80" spans="1:5" x14ac:dyDescent="0.2">
      <c r="A80">
        <f t="shared" si="3"/>
        <v>1.65E-3</v>
      </c>
      <c r="B80">
        <v>1.65</v>
      </c>
      <c r="C80">
        <v>1.94</v>
      </c>
      <c r="D80">
        <f t="shared" si="4"/>
        <v>5.58</v>
      </c>
      <c r="E80">
        <f t="shared" si="5"/>
        <v>2.8468772273548728</v>
      </c>
    </row>
    <row r="81" spans="1:5" x14ac:dyDescent="0.2">
      <c r="A81">
        <f t="shared" si="3"/>
        <v>1.8799999999999999E-3</v>
      </c>
      <c r="B81">
        <v>1.88</v>
      </c>
      <c r="C81">
        <v>2.4</v>
      </c>
      <c r="D81">
        <f t="shared" si="4"/>
        <v>7.98</v>
      </c>
      <c r="E81">
        <f t="shared" si="5"/>
        <v>4.0713405509483671</v>
      </c>
    </row>
    <row r="82" spans="1:5" x14ac:dyDescent="0.2">
      <c r="A82" s="49">
        <f t="shared" si="3"/>
        <v>2.1299999999999999E-3</v>
      </c>
      <c r="B82" s="49">
        <v>2.13</v>
      </c>
      <c r="C82" s="49">
        <v>2.83</v>
      </c>
      <c r="D82" s="49">
        <f t="shared" si="4"/>
        <v>10.81</v>
      </c>
      <c r="E82" s="49">
        <f t="shared" si="5"/>
        <v>5.5151868866856955</v>
      </c>
    </row>
    <row r="83" spans="1:5" x14ac:dyDescent="0.2">
      <c r="A83">
        <f t="shared" si="3"/>
        <v>2.4199999999999998E-3</v>
      </c>
      <c r="B83">
        <v>2.42</v>
      </c>
      <c r="C83">
        <v>3.24</v>
      </c>
      <c r="D83">
        <f t="shared" si="4"/>
        <v>14.05</v>
      </c>
      <c r="E83">
        <f t="shared" si="5"/>
        <v>7.1682123735369121</v>
      </c>
    </row>
    <row r="84" spans="1:5" x14ac:dyDescent="0.2">
      <c r="A84">
        <f t="shared" si="3"/>
        <v>2.7499999999999998E-3</v>
      </c>
      <c r="B84">
        <v>2.75</v>
      </c>
      <c r="C84">
        <v>3.63</v>
      </c>
      <c r="D84">
        <f t="shared" si="4"/>
        <v>17.68</v>
      </c>
      <c r="E84">
        <f t="shared" si="5"/>
        <v>9.0202131504720704</v>
      </c>
    </row>
    <row r="85" spans="1:5" x14ac:dyDescent="0.2">
      <c r="A85">
        <f t="shared" si="3"/>
        <v>3.1199999999999999E-3</v>
      </c>
      <c r="B85">
        <v>3.12</v>
      </c>
      <c r="C85">
        <v>4</v>
      </c>
      <c r="D85">
        <f t="shared" si="4"/>
        <v>21.68</v>
      </c>
      <c r="E85">
        <f t="shared" si="5"/>
        <v>11.060985356461225</v>
      </c>
    </row>
    <row r="86" spans="1:5" x14ac:dyDescent="0.2">
      <c r="A86">
        <f t="shared" si="3"/>
        <v>3.5499999999999998E-3</v>
      </c>
      <c r="B86">
        <v>3.55</v>
      </c>
      <c r="C86">
        <v>4.3600000000000003</v>
      </c>
      <c r="D86">
        <f t="shared" si="4"/>
        <v>26.04</v>
      </c>
      <c r="E86">
        <f t="shared" si="5"/>
        <v>13.285427060989408</v>
      </c>
    </row>
    <row r="87" spans="1:5" x14ac:dyDescent="0.2">
      <c r="A87">
        <f t="shared" si="3"/>
        <v>4.0300000000000006E-3</v>
      </c>
      <c r="B87">
        <v>4.03</v>
      </c>
      <c r="C87">
        <v>4.7</v>
      </c>
      <c r="D87">
        <f t="shared" si="4"/>
        <v>30.74</v>
      </c>
      <c r="E87">
        <f t="shared" si="5"/>
        <v>15.683334403026665</v>
      </c>
    </row>
    <row r="88" spans="1:5" x14ac:dyDescent="0.2">
      <c r="A88">
        <f t="shared" si="3"/>
        <v>4.5799999999999999E-3</v>
      </c>
      <c r="B88">
        <v>4.58</v>
      </c>
      <c r="C88">
        <v>4.99</v>
      </c>
      <c r="D88">
        <f t="shared" si="4"/>
        <v>35.729999999999997</v>
      </c>
      <c r="E88">
        <f t="shared" si="5"/>
        <v>18.229197729998138</v>
      </c>
    </row>
    <row r="89" spans="1:5" x14ac:dyDescent="0.2">
      <c r="A89">
        <f t="shared" si="3"/>
        <v>5.2100000000000002E-3</v>
      </c>
      <c r="B89">
        <v>5.21</v>
      </c>
      <c r="C89">
        <v>5.22</v>
      </c>
      <c r="D89">
        <f t="shared" si="4"/>
        <v>40.949999999999996</v>
      </c>
      <c r="E89">
        <f t="shared" si="5"/>
        <v>20.892405458813986</v>
      </c>
    </row>
    <row r="90" spans="1:5" x14ac:dyDescent="0.2">
      <c r="A90">
        <f t="shared" si="3"/>
        <v>5.9199999999999999E-3</v>
      </c>
      <c r="B90">
        <v>5.92</v>
      </c>
      <c r="C90">
        <v>5.39</v>
      </c>
      <c r="D90">
        <f t="shared" si="4"/>
        <v>46.339999999999996</v>
      </c>
      <c r="E90">
        <f t="shared" si="5"/>
        <v>23.642346006384372</v>
      </c>
    </row>
    <row r="91" spans="1:5" x14ac:dyDescent="0.2">
      <c r="A91">
        <f t="shared" si="3"/>
        <v>6.7199999999999994E-3</v>
      </c>
      <c r="B91">
        <v>6.72</v>
      </c>
      <c r="C91">
        <v>5.49</v>
      </c>
      <c r="D91">
        <f t="shared" si="4"/>
        <v>51.83</v>
      </c>
      <c r="E91">
        <f t="shared" si="5"/>
        <v>26.443305859104495</v>
      </c>
    </row>
    <row r="92" spans="1:5" x14ac:dyDescent="0.2">
      <c r="A92">
        <f t="shared" si="3"/>
        <v>7.6400000000000001E-3</v>
      </c>
      <c r="B92">
        <v>7.64</v>
      </c>
      <c r="C92">
        <v>5.51</v>
      </c>
      <c r="D92">
        <f t="shared" si="4"/>
        <v>57.339999999999996</v>
      </c>
      <c r="E92">
        <f t="shared" si="5"/>
        <v>29.254469572854553</v>
      </c>
    </row>
    <row r="93" spans="1:5" x14ac:dyDescent="0.2">
      <c r="A93">
        <f t="shared" si="3"/>
        <v>8.6800000000000002E-3</v>
      </c>
      <c r="B93">
        <v>8.68</v>
      </c>
      <c r="C93">
        <v>5.44</v>
      </c>
      <c r="D93">
        <f t="shared" si="4"/>
        <v>62.779999999999994</v>
      </c>
      <c r="E93">
        <f t="shared" si="5"/>
        <v>32.029919772999804</v>
      </c>
    </row>
    <row r="94" spans="1:5" x14ac:dyDescent="0.2">
      <c r="A94">
        <f t="shared" si="3"/>
        <v>9.859999999999999E-3</v>
      </c>
      <c r="B94">
        <v>9.86</v>
      </c>
      <c r="C94">
        <v>5.29</v>
      </c>
      <c r="D94">
        <f t="shared" si="4"/>
        <v>68.069999999999993</v>
      </c>
      <c r="E94">
        <f t="shared" si="5"/>
        <v>34.728841015420464</v>
      </c>
    </row>
    <row r="95" spans="1:5" x14ac:dyDescent="0.2">
      <c r="A95">
        <f t="shared" si="3"/>
        <v>1.12E-2</v>
      </c>
      <c r="B95">
        <v>11.2</v>
      </c>
      <c r="C95">
        <v>5.05</v>
      </c>
      <c r="D95">
        <f t="shared" si="4"/>
        <v>73.11999999999999</v>
      </c>
      <c r="E95">
        <f t="shared" si="5"/>
        <v>37.305315925481771</v>
      </c>
    </row>
    <row r="96" spans="1:5" x14ac:dyDescent="0.2">
      <c r="A96">
        <f t="shared" si="3"/>
        <v>1.2699999999999999E-2</v>
      </c>
      <c r="B96">
        <v>12.7</v>
      </c>
      <c r="C96">
        <v>4.7300000000000004</v>
      </c>
      <c r="D96">
        <f t="shared" si="4"/>
        <v>77.849999999999994</v>
      </c>
      <c r="E96">
        <f t="shared" si="5"/>
        <v>39.718529059063954</v>
      </c>
    </row>
    <row r="97" spans="1:5" x14ac:dyDescent="0.2">
      <c r="A97">
        <f t="shared" si="3"/>
        <v>1.4500000000000001E-2</v>
      </c>
      <c r="B97">
        <v>14.5</v>
      </c>
      <c r="C97">
        <v>4.34</v>
      </c>
      <c r="D97">
        <f t="shared" si="4"/>
        <v>82.19</v>
      </c>
      <c r="E97">
        <f t="shared" si="5"/>
        <v>41.932766902562186</v>
      </c>
    </row>
    <row r="98" spans="1:5" x14ac:dyDescent="0.2">
      <c r="A98">
        <f t="shared" si="3"/>
        <v>1.6399999999999998E-2</v>
      </c>
      <c r="B98">
        <v>16.399999999999999</v>
      </c>
      <c r="C98">
        <v>3.89</v>
      </c>
      <c r="D98">
        <f t="shared" si="4"/>
        <v>86.08</v>
      </c>
      <c r="E98">
        <f t="shared" si="5"/>
        <v>43.917417872886645</v>
      </c>
    </row>
    <row r="99" spans="1:5" x14ac:dyDescent="0.2">
      <c r="A99">
        <f t="shared" si="3"/>
        <v>1.8699999999999998E-2</v>
      </c>
      <c r="B99">
        <v>18.7</v>
      </c>
      <c r="C99">
        <v>3.39</v>
      </c>
      <c r="D99">
        <f t="shared" si="4"/>
        <v>89.47</v>
      </c>
      <c r="E99">
        <f t="shared" si="5"/>
        <v>45.646972317462449</v>
      </c>
    </row>
    <row r="100" spans="1:5" x14ac:dyDescent="0.2">
      <c r="A100">
        <f t="shared" si="3"/>
        <v>2.12E-2</v>
      </c>
      <c r="B100">
        <v>21.2</v>
      </c>
      <c r="C100">
        <v>2.86</v>
      </c>
      <c r="D100">
        <f t="shared" si="4"/>
        <v>92.33</v>
      </c>
      <c r="E100">
        <f t="shared" si="5"/>
        <v>47.106124444744701</v>
      </c>
    </row>
    <row r="101" spans="1:5" x14ac:dyDescent="0.2">
      <c r="A101">
        <f t="shared" si="3"/>
        <v>2.41E-2</v>
      </c>
      <c r="B101">
        <v>24.1</v>
      </c>
      <c r="C101">
        <v>2.3199999999999998</v>
      </c>
      <c r="D101">
        <f t="shared" si="4"/>
        <v>94.649999999999991</v>
      </c>
      <c r="E101">
        <f t="shared" si="5"/>
        <v>48.289772324218411</v>
      </c>
    </row>
    <row r="102" spans="1:5" x14ac:dyDescent="0.2">
      <c r="A102">
        <f t="shared" si="3"/>
        <v>2.7399999999999997E-2</v>
      </c>
      <c r="B102">
        <v>27.4</v>
      </c>
      <c r="C102">
        <v>1.79</v>
      </c>
      <c r="D102">
        <f t="shared" si="4"/>
        <v>96.44</v>
      </c>
      <c r="E102">
        <f t="shared" si="5"/>
        <v>49.203017886398555</v>
      </c>
    </row>
    <row r="103" spans="1:5" x14ac:dyDescent="0.2">
      <c r="A103">
        <f t="shared" si="3"/>
        <v>3.1100000000000003E-2</v>
      </c>
      <c r="B103">
        <v>31.1</v>
      </c>
      <c r="C103">
        <v>1.3</v>
      </c>
      <c r="D103">
        <f t="shared" si="4"/>
        <v>97.74</v>
      </c>
      <c r="E103">
        <f t="shared" si="5"/>
        <v>49.866268853345026</v>
      </c>
    </row>
    <row r="104" spans="1:5" x14ac:dyDescent="0.2">
      <c r="A104">
        <f t="shared" si="3"/>
        <v>3.5299999999999998E-2</v>
      </c>
      <c r="B104">
        <v>35.299999999999997</v>
      </c>
      <c r="C104">
        <v>0.9</v>
      </c>
      <c r="D104">
        <f t="shared" si="4"/>
        <v>98.64</v>
      </c>
      <c r="E104">
        <f t="shared" si="5"/>
        <v>50.325442599692593</v>
      </c>
    </row>
    <row r="105" spans="1:5" x14ac:dyDescent="0.2">
      <c r="A105">
        <f t="shared" si="3"/>
        <v>4.0100000000000004E-2</v>
      </c>
      <c r="B105">
        <v>40.1</v>
      </c>
      <c r="C105">
        <v>0.57999999999999996</v>
      </c>
      <c r="D105">
        <f t="shared" si="4"/>
        <v>99.22</v>
      </c>
      <c r="E105">
        <f t="shared" si="5"/>
        <v>50.621354569561021</v>
      </c>
    </row>
    <row r="106" spans="1:5" x14ac:dyDescent="0.2">
      <c r="A106">
        <f t="shared" si="3"/>
        <v>4.5600000000000002E-2</v>
      </c>
      <c r="B106">
        <v>45.6</v>
      </c>
      <c r="C106">
        <v>0.35</v>
      </c>
      <c r="D106">
        <f t="shared" si="4"/>
        <v>99.57</v>
      </c>
      <c r="E106">
        <f t="shared" si="5"/>
        <v>50.799922137585071</v>
      </c>
    </row>
    <row r="107" spans="1:5" x14ac:dyDescent="0.2">
      <c r="A107">
        <f t="shared" si="3"/>
        <v>5.1799999999999999E-2</v>
      </c>
      <c r="B107">
        <v>51.8</v>
      </c>
      <c r="C107">
        <v>0.2</v>
      </c>
      <c r="D107">
        <f t="shared" si="4"/>
        <v>99.77</v>
      </c>
      <c r="E107">
        <f t="shared" si="5"/>
        <v>50.90196074788453</v>
      </c>
    </row>
    <row r="108" spans="1:5" x14ac:dyDescent="0.2">
      <c r="A108">
        <f t="shared" si="3"/>
        <v>5.8900000000000001E-2</v>
      </c>
      <c r="B108">
        <v>58.9</v>
      </c>
      <c r="C108">
        <v>0.12</v>
      </c>
      <c r="D108">
        <f t="shared" si="4"/>
        <v>99.89</v>
      </c>
      <c r="E108">
        <f t="shared" si="5"/>
        <v>50.963183914064203</v>
      </c>
    </row>
    <row r="109" spans="1:5" x14ac:dyDescent="0.2">
      <c r="A109">
        <f t="shared" si="3"/>
        <v>6.6900000000000001E-2</v>
      </c>
      <c r="B109">
        <v>66.900000000000006</v>
      </c>
      <c r="C109">
        <v>0.06</v>
      </c>
      <c r="D109">
        <f t="shared" si="4"/>
        <v>99.95</v>
      </c>
      <c r="E109">
        <f t="shared" si="5"/>
        <v>50.993795497154039</v>
      </c>
    </row>
    <row r="110" spans="1:5" x14ac:dyDescent="0.2">
      <c r="A110">
        <f t="shared" si="3"/>
        <v>7.5999999999999998E-2</v>
      </c>
      <c r="B110">
        <v>76</v>
      </c>
      <c r="C110">
        <v>0.03</v>
      </c>
      <c r="D110">
        <f t="shared" si="4"/>
        <v>99.98</v>
      </c>
      <c r="E110">
        <f t="shared" si="5"/>
        <v>51.009101288698965</v>
      </c>
    </row>
    <row r="111" spans="1:5" x14ac:dyDescent="0.2">
      <c r="A111">
        <f t="shared" si="3"/>
        <v>8.6400000000000005E-2</v>
      </c>
      <c r="B111">
        <v>86.4</v>
      </c>
      <c r="C111">
        <v>0</v>
      </c>
      <c r="D111">
        <f t="shared" si="4"/>
        <v>99.98</v>
      </c>
      <c r="E111">
        <f t="shared" si="5"/>
        <v>51.009101288698965</v>
      </c>
    </row>
    <row r="112" spans="1:5" x14ac:dyDescent="0.2">
      <c r="A112">
        <f t="shared" si="3"/>
        <v>9.8099999999999993E-2</v>
      </c>
      <c r="B112">
        <v>98.1</v>
      </c>
      <c r="C112">
        <v>0</v>
      </c>
      <c r="D112">
        <f t="shared" si="4"/>
        <v>99.98</v>
      </c>
      <c r="E112">
        <f t="shared" si="5"/>
        <v>51.009101288698965</v>
      </c>
    </row>
    <row r="113" spans="1:5" x14ac:dyDescent="0.2">
      <c r="A113">
        <f t="shared" si="3"/>
        <v>0.111</v>
      </c>
      <c r="B113">
        <v>111</v>
      </c>
      <c r="C113">
        <v>0</v>
      </c>
      <c r="D113">
        <f t="shared" si="4"/>
        <v>99.98</v>
      </c>
      <c r="E113">
        <f t="shared" si="5"/>
        <v>51.009101288698965</v>
      </c>
    </row>
    <row r="114" spans="1:5" x14ac:dyDescent="0.2">
      <c r="A114">
        <f t="shared" si="3"/>
        <v>0.127</v>
      </c>
      <c r="B114">
        <v>127</v>
      </c>
      <c r="C114">
        <v>0</v>
      </c>
      <c r="D114">
        <f t="shared" si="4"/>
        <v>99.98</v>
      </c>
      <c r="E114">
        <f t="shared" si="5"/>
        <v>51.009101288698965</v>
      </c>
    </row>
    <row r="115" spans="1:5" x14ac:dyDescent="0.2">
      <c r="A115">
        <f t="shared" si="3"/>
        <v>0.14399999999999999</v>
      </c>
      <c r="B115">
        <v>144</v>
      </c>
      <c r="C115">
        <v>0</v>
      </c>
      <c r="D115">
        <f t="shared" si="4"/>
        <v>99.98</v>
      </c>
      <c r="E115">
        <f t="shared" si="5"/>
        <v>51.009101288698965</v>
      </c>
    </row>
    <row r="116" spans="1:5" x14ac:dyDescent="0.2">
      <c r="A116">
        <f t="shared" si="3"/>
        <v>0.16300000000000001</v>
      </c>
      <c r="B116">
        <v>163</v>
      </c>
      <c r="C116">
        <v>0</v>
      </c>
      <c r="D116">
        <f t="shared" si="4"/>
        <v>99.98</v>
      </c>
      <c r="E116">
        <f t="shared" si="5"/>
        <v>51.009101288698965</v>
      </c>
    </row>
    <row r="117" spans="1:5" x14ac:dyDescent="0.2">
      <c r="A117">
        <f t="shared" si="3"/>
        <v>0.186</v>
      </c>
      <c r="B117">
        <v>186</v>
      </c>
      <c r="C117">
        <v>0</v>
      </c>
      <c r="D117">
        <f t="shared" si="4"/>
        <v>99.98</v>
      </c>
      <c r="E117">
        <f t="shared" si="5"/>
        <v>51.009101288698965</v>
      </c>
    </row>
    <row r="118" spans="1:5" x14ac:dyDescent="0.2">
      <c r="A118">
        <f t="shared" si="3"/>
        <v>0.21099999999999999</v>
      </c>
      <c r="B118">
        <v>211</v>
      </c>
      <c r="C118">
        <v>0</v>
      </c>
      <c r="D118">
        <f t="shared" si="4"/>
        <v>99.98</v>
      </c>
      <c r="E118">
        <f t="shared" si="5"/>
        <v>51.009101288698965</v>
      </c>
    </row>
    <row r="119" spans="1:5" x14ac:dyDescent="0.2">
      <c r="A119">
        <f t="shared" si="3"/>
        <v>0.24</v>
      </c>
      <c r="B119">
        <v>240</v>
      </c>
      <c r="C119">
        <v>0</v>
      </c>
      <c r="D119">
        <f t="shared" si="4"/>
        <v>99.98</v>
      </c>
      <c r="E119">
        <f t="shared" si="5"/>
        <v>51.009101288698965</v>
      </c>
    </row>
    <row r="120" spans="1:5" x14ac:dyDescent="0.2">
      <c r="A120">
        <f t="shared" si="3"/>
        <v>0.27200000000000002</v>
      </c>
      <c r="B120">
        <v>272</v>
      </c>
      <c r="C120">
        <v>0</v>
      </c>
      <c r="D120">
        <f t="shared" si="4"/>
        <v>99.98</v>
      </c>
      <c r="E120">
        <f t="shared" si="5"/>
        <v>51.009101288698965</v>
      </c>
    </row>
    <row r="121" spans="1:5" x14ac:dyDescent="0.2">
      <c r="A121">
        <f t="shared" si="3"/>
        <v>0.31</v>
      </c>
      <c r="B121">
        <v>310</v>
      </c>
      <c r="C121">
        <v>0</v>
      </c>
      <c r="D121">
        <f t="shared" si="4"/>
        <v>99.98</v>
      </c>
      <c r="E121">
        <f t="shared" si="5"/>
        <v>51.009101288698965</v>
      </c>
    </row>
    <row r="122" spans="1:5" x14ac:dyDescent="0.2">
      <c r="A122">
        <f t="shared" si="3"/>
        <v>0.35199999999999998</v>
      </c>
      <c r="B122">
        <v>352</v>
      </c>
      <c r="C122">
        <v>0</v>
      </c>
      <c r="D122">
        <f t="shared" si="4"/>
        <v>99.98</v>
      </c>
      <c r="E122">
        <f t="shared" si="5"/>
        <v>51.009101288698965</v>
      </c>
    </row>
    <row r="123" spans="1:5" x14ac:dyDescent="0.2">
      <c r="A123">
        <f t="shared" ref="A123:A137" si="6">B123/1000</f>
        <v>0.4</v>
      </c>
      <c r="B123">
        <v>400</v>
      </c>
      <c r="C123">
        <v>0</v>
      </c>
      <c r="D123">
        <f t="shared" si="4"/>
        <v>99.98</v>
      </c>
      <c r="E123">
        <f t="shared" si="5"/>
        <v>51.009101288698965</v>
      </c>
    </row>
    <row r="124" spans="1:5" x14ac:dyDescent="0.2">
      <c r="A124">
        <f t="shared" si="6"/>
        <v>0.45400000000000001</v>
      </c>
      <c r="B124">
        <v>454</v>
      </c>
      <c r="C124">
        <v>0</v>
      </c>
      <c r="D124">
        <f t="shared" si="4"/>
        <v>99.98</v>
      </c>
      <c r="E124">
        <f t="shared" si="5"/>
        <v>51.009101288698965</v>
      </c>
    </row>
    <row r="125" spans="1:5" x14ac:dyDescent="0.2">
      <c r="A125">
        <f t="shared" si="6"/>
        <v>0.51600000000000001</v>
      </c>
      <c r="B125">
        <v>516</v>
      </c>
      <c r="C125">
        <v>0</v>
      </c>
      <c r="D125">
        <f t="shared" si="4"/>
        <v>99.98</v>
      </c>
      <c r="E125">
        <f t="shared" si="5"/>
        <v>51.009101288698965</v>
      </c>
    </row>
    <row r="126" spans="1:5" x14ac:dyDescent="0.2">
      <c r="A126">
        <f t="shared" si="6"/>
        <v>0.58599999999999997</v>
      </c>
      <c r="B126">
        <v>586</v>
      </c>
      <c r="C126">
        <v>0</v>
      </c>
      <c r="D126">
        <f t="shared" si="4"/>
        <v>99.98</v>
      </c>
      <c r="E126">
        <f t="shared" si="5"/>
        <v>51.009101288698965</v>
      </c>
    </row>
    <row r="127" spans="1:5" x14ac:dyDescent="0.2">
      <c r="A127">
        <f t="shared" si="6"/>
        <v>0.66600000000000004</v>
      </c>
      <c r="B127">
        <v>666</v>
      </c>
      <c r="C127">
        <v>0</v>
      </c>
      <c r="D127">
        <f t="shared" si="4"/>
        <v>99.98</v>
      </c>
      <c r="E127">
        <f t="shared" si="5"/>
        <v>51.009101288698965</v>
      </c>
    </row>
    <row r="128" spans="1:5" x14ac:dyDescent="0.2">
      <c r="A128">
        <f t="shared" si="6"/>
        <v>0.75600000000000001</v>
      </c>
      <c r="B128">
        <v>756</v>
      </c>
      <c r="C128">
        <v>0</v>
      </c>
      <c r="D128">
        <f t="shared" si="4"/>
        <v>99.98</v>
      </c>
      <c r="E128">
        <f t="shared" si="5"/>
        <v>51.009101288698965</v>
      </c>
    </row>
    <row r="129" spans="1:5" x14ac:dyDescent="0.2">
      <c r="A129">
        <f t="shared" si="6"/>
        <v>0.85899999999999999</v>
      </c>
      <c r="B129">
        <v>859</v>
      </c>
      <c r="C129">
        <v>0</v>
      </c>
      <c r="D129">
        <f t="shared" si="4"/>
        <v>99.98</v>
      </c>
      <c r="E129">
        <f t="shared" si="5"/>
        <v>51.009101288698965</v>
      </c>
    </row>
    <row r="130" spans="1:5" x14ac:dyDescent="0.2">
      <c r="A130">
        <f t="shared" si="6"/>
        <v>0.97599999999999998</v>
      </c>
      <c r="B130">
        <v>976</v>
      </c>
      <c r="C130">
        <v>0</v>
      </c>
      <c r="D130">
        <f t="shared" si="4"/>
        <v>99.98</v>
      </c>
      <c r="E130">
        <f t="shared" si="5"/>
        <v>51.009101288698965</v>
      </c>
    </row>
    <row r="131" spans="1:5" x14ac:dyDescent="0.2">
      <c r="A131">
        <f t="shared" si="6"/>
        <v>1.1100000000000001</v>
      </c>
      <c r="B131">
        <v>1110</v>
      </c>
      <c r="C131">
        <v>0</v>
      </c>
      <c r="D131">
        <f t="shared" si="4"/>
        <v>99.98</v>
      </c>
      <c r="E131">
        <f t="shared" si="5"/>
        <v>51.009101288698965</v>
      </c>
    </row>
    <row r="132" spans="1:5" x14ac:dyDescent="0.2">
      <c r="A132">
        <f t="shared" si="6"/>
        <v>1.26</v>
      </c>
      <c r="B132">
        <v>1260</v>
      </c>
      <c r="C132">
        <v>0</v>
      </c>
      <c r="D132">
        <f t="shared" si="4"/>
        <v>99.98</v>
      </c>
      <c r="E132">
        <f t="shared" si="5"/>
        <v>51.009101288698965</v>
      </c>
    </row>
    <row r="133" spans="1:5" x14ac:dyDescent="0.2">
      <c r="A133">
        <f t="shared" si="6"/>
        <v>1.43</v>
      </c>
      <c r="B133">
        <v>1430</v>
      </c>
      <c r="C133">
        <v>0</v>
      </c>
      <c r="D133">
        <f t="shared" si="4"/>
        <v>99.98</v>
      </c>
      <c r="E133">
        <f t="shared" si="5"/>
        <v>51.009101288698965</v>
      </c>
    </row>
    <row r="134" spans="1:5" x14ac:dyDescent="0.2">
      <c r="A134">
        <f t="shared" si="6"/>
        <v>1.63</v>
      </c>
      <c r="B134">
        <v>1630</v>
      </c>
      <c r="C134">
        <v>0</v>
      </c>
      <c r="D134">
        <f t="shared" si="4"/>
        <v>99.98</v>
      </c>
      <c r="E134">
        <f t="shared" si="5"/>
        <v>51.009101288698965</v>
      </c>
    </row>
    <row r="135" spans="1:5" x14ac:dyDescent="0.2">
      <c r="A135">
        <f t="shared" si="6"/>
        <v>1.85</v>
      </c>
      <c r="B135">
        <v>1850</v>
      </c>
      <c r="C135">
        <v>0</v>
      </c>
      <c r="D135">
        <f t="shared" si="4"/>
        <v>99.98</v>
      </c>
      <c r="E135">
        <f t="shared" si="5"/>
        <v>51.009101288698965</v>
      </c>
    </row>
    <row r="136" spans="1:5" x14ac:dyDescent="0.2">
      <c r="A136">
        <f t="shared" si="6"/>
        <v>2.1</v>
      </c>
      <c r="B136">
        <v>2100</v>
      </c>
      <c r="C136">
        <v>0</v>
      </c>
      <c r="D136">
        <f t="shared" si="4"/>
        <v>99.98</v>
      </c>
      <c r="E136">
        <f t="shared" si="5"/>
        <v>51.009101288698965</v>
      </c>
    </row>
    <row r="137" spans="1:5" x14ac:dyDescent="0.2">
      <c r="A137">
        <f t="shared" si="6"/>
        <v>2.39</v>
      </c>
      <c r="B137">
        <v>2390</v>
      </c>
      <c r="C137">
        <v>0</v>
      </c>
      <c r="D137">
        <f t="shared" si="4"/>
        <v>99.98</v>
      </c>
      <c r="E137">
        <f t="shared" si="5"/>
        <v>51.009101288698965</v>
      </c>
    </row>
  </sheetData>
  <pageMargins left="0.39370078740157483" right="0.39370078740157483" top="0.98425196850393704" bottom="0.98425196850393704" header="0.51181102362204722" footer="0.51181102362204722"/>
  <pageSetup paperSize="9" orientation="portrait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954BE-19AD-4989-8081-A8DC572F44F1}">
  <dimension ref="A1:J137"/>
  <sheetViews>
    <sheetView zoomScale="93" workbookViewId="0">
      <selection activeCell="I11" sqref="I11:J18"/>
    </sheetView>
  </sheetViews>
  <sheetFormatPr defaultRowHeight="12.75" x14ac:dyDescent="0.2"/>
  <cols>
    <col min="1" max="1" width="14" customWidth="1"/>
    <col min="2" max="3" width="13.85546875" customWidth="1"/>
    <col min="4" max="4" width="14.28515625" bestFit="1" customWidth="1"/>
    <col min="5" max="6" width="10.7109375" customWidth="1"/>
    <col min="7" max="7" width="15.85546875" customWidth="1"/>
    <col min="8" max="8" width="3.140625" customWidth="1"/>
    <col min="9" max="9" width="18.42578125" bestFit="1" customWidth="1"/>
  </cols>
  <sheetData>
    <row r="1" spans="1:10" ht="18" x14ac:dyDescent="0.25">
      <c r="A1" s="6" t="s">
        <v>0</v>
      </c>
      <c r="B1" s="6"/>
    </row>
    <row r="2" spans="1:10" ht="15.75" x14ac:dyDescent="0.25">
      <c r="A2" s="1"/>
    </row>
    <row r="3" spans="1:10" x14ac:dyDescent="0.2">
      <c r="A3" s="3" t="s">
        <v>1</v>
      </c>
      <c r="B3" s="38">
        <v>100</v>
      </c>
      <c r="C3" s="4"/>
      <c r="D3" s="4"/>
      <c r="E3" s="4"/>
    </row>
    <row r="4" spans="1:10" x14ac:dyDescent="0.2">
      <c r="A4" s="7" t="s">
        <v>2</v>
      </c>
      <c r="B4" s="43"/>
      <c r="C4" s="45" t="s">
        <v>3</v>
      </c>
      <c r="D4" s="35" t="s">
        <v>68</v>
      </c>
      <c r="E4" s="46" t="s">
        <v>5</v>
      </c>
      <c r="G4" s="37"/>
    </row>
    <row r="5" spans="1:10" x14ac:dyDescent="0.2">
      <c r="A5" s="7" t="s">
        <v>6</v>
      </c>
      <c r="B5" s="47"/>
      <c r="C5" s="44">
        <f>J11-J13</f>
        <v>41.230000000000004</v>
      </c>
      <c r="D5" s="10" t="s">
        <v>7</v>
      </c>
      <c r="E5" s="16"/>
      <c r="G5" s="37"/>
    </row>
    <row r="6" spans="1:10" x14ac:dyDescent="0.2">
      <c r="A6" s="12" t="s">
        <v>8</v>
      </c>
      <c r="B6" s="19">
        <f>100-(D22/C5*100)</f>
        <v>-18.9182634004367</v>
      </c>
      <c r="C6" s="5">
        <v>0</v>
      </c>
      <c r="D6" s="13"/>
      <c r="E6" s="5"/>
      <c r="F6" s="9"/>
    </row>
    <row r="7" spans="1:10" ht="14.25" customHeight="1" x14ac:dyDescent="0.2">
      <c r="A7" s="20" t="s">
        <v>9</v>
      </c>
      <c r="B7" s="32" t="s">
        <v>10</v>
      </c>
      <c r="C7" s="22" t="s">
        <v>11</v>
      </c>
      <c r="D7" s="22" t="s">
        <v>12</v>
      </c>
      <c r="E7" s="23" t="s">
        <v>13</v>
      </c>
      <c r="F7" s="23"/>
      <c r="G7" s="22" t="s">
        <v>14</v>
      </c>
    </row>
    <row r="8" spans="1:10" ht="14.25" customHeight="1" x14ac:dyDescent="0.2">
      <c r="A8" s="24" t="s">
        <v>15</v>
      </c>
      <c r="B8" s="33" t="s">
        <v>16</v>
      </c>
      <c r="C8" s="25" t="s">
        <v>16</v>
      </c>
      <c r="D8" s="25" t="s">
        <v>17</v>
      </c>
      <c r="E8" s="26" t="s">
        <v>18</v>
      </c>
      <c r="F8" s="26" t="s">
        <v>19</v>
      </c>
      <c r="G8" s="25" t="s">
        <v>18</v>
      </c>
    </row>
    <row r="9" spans="1:10" ht="14.25" customHeight="1" x14ac:dyDescent="0.2">
      <c r="A9" s="21"/>
      <c r="B9" s="29"/>
      <c r="C9" s="29"/>
      <c r="D9" s="30"/>
      <c r="E9" s="28">
        <f t="shared" ref="E9:E22" si="0">D9/$D$22*100</f>
        <v>0</v>
      </c>
      <c r="F9" s="21"/>
      <c r="G9" s="30"/>
    </row>
    <row r="10" spans="1:10" ht="14.25" customHeight="1" x14ac:dyDescent="0.2">
      <c r="A10" s="21"/>
      <c r="B10" s="21"/>
      <c r="C10" s="21"/>
      <c r="D10" s="31">
        <f>B10-C10</f>
        <v>0</v>
      </c>
      <c r="E10" s="28">
        <f t="shared" si="0"/>
        <v>0</v>
      </c>
      <c r="F10" s="21"/>
      <c r="G10" s="28">
        <f t="shared" ref="G10:G20" si="1">G11+E10</f>
        <v>99.999999999999986</v>
      </c>
    </row>
    <row r="11" spans="1:10" ht="14.25" customHeight="1" x14ac:dyDescent="0.2">
      <c r="A11" s="21"/>
      <c r="B11" s="21"/>
      <c r="C11" s="21"/>
      <c r="D11" s="31">
        <f t="shared" ref="D11:D21" si="2">B11-C11</f>
        <v>0</v>
      </c>
      <c r="E11" s="28">
        <f t="shared" si="0"/>
        <v>0</v>
      </c>
      <c r="F11" s="21"/>
      <c r="G11" s="28">
        <f t="shared" si="1"/>
        <v>99.999999999999986</v>
      </c>
      <c r="I11" s="41" t="s">
        <v>20</v>
      </c>
      <c r="J11">
        <v>47.53</v>
      </c>
    </row>
    <row r="12" spans="1:10" x14ac:dyDescent="0.2">
      <c r="A12" s="27">
        <v>2</v>
      </c>
      <c r="B12" s="28">
        <v>136.80000000000001</v>
      </c>
      <c r="C12" s="48">
        <v>136</v>
      </c>
      <c r="D12" s="34">
        <f t="shared" si="2"/>
        <v>0.80000000000001137</v>
      </c>
      <c r="E12" s="28">
        <f t="shared" si="0"/>
        <v>1.6316540893330826</v>
      </c>
      <c r="F12" s="21">
        <v>6.3</v>
      </c>
      <c r="G12" s="28">
        <f t="shared" si="1"/>
        <v>99.999999999999986</v>
      </c>
      <c r="I12" t="s">
        <v>21</v>
      </c>
      <c r="J12">
        <v>31.6</v>
      </c>
    </row>
    <row r="13" spans="1:10" x14ac:dyDescent="0.2">
      <c r="A13" s="27">
        <v>1</v>
      </c>
      <c r="B13" s="28">
        <v>119.9</v>
      </c>
      <c r="C13" s="28">
        <v>118.7</v>
      </c>
      <c r="D13" s="34">
        <f t="shared" si="2"/>
        <v>1.2000000000000028</v>
      </c>
      <c r="E13" s="28">
        <f t="shared" si="0"/>
        <v>2.4474811339995952</v>
      </c>
      <c r="F13" s="27">
        <v>2</v>
      </c>
      <c r="G13" s="28">
        <f t="shared" si="1"/>
        <v>98.368345910666903</v>
      </c>
      <c r="I13" s="40" t="s">
        <v>22</v>
      </c>
      <c r="J13" s="40">
        <v>6.3</v>
      </c>
    </row>
    <row r="14" spans="1:10" x14ac:dyDescent="0.2">
      <c r="A14" s="27">
        <v>0.6</v>
      </c>
      <c r="B14" s="28">
        <v>119</v>
      </c>
      <c r="C14" s="28">
        <v>117.3</v>
      </c>
      <c r="D14" s="34">
        <f t="shared" si="2"/>
        <v>1.7000000000000028</v>
      </c>
      <c r="E14" s="28">
        <f t="shared" si="0"/>
        <v>3.4672649398327571</v>
      </c>
      <c r="F14" s="27">
        <v>1</v>
      </c>
      <c r="G14" s="28">
        <f t="shared" si="1"/>
        <v>95.920864776667315</v>
      </c>
      <c r="I14" t="s">
        <v>21</v>
      </c>
      <c r="J14" s="40">
        <f>J12-J13</f>
        <v>25.3</v>
      </c>
    </row>
    <row r="15" spans="1:10" x14ac:dyDescent="0.2">
      <c r="A15" s="27">
        <v>0.35499999999999998</v>
      </c>
      <c r="B15" s="28">
        <v>110.9</v>
      </c>
      <c r="C15" s="28">
        <v>107</v>
      </c>
      <c r="D15" s="34">
        <f t="shared" si="2"/>
        <v>3.9000000000000057</v>
      </c>
      <c r="E15" s="28">
        <f t="shared" si="0"/>
        <v>7.9543136854986765</v>
      </c>
      <c r="F15" s="27">
        <v>0.6</v>
      </c>
      <c r="G15" s="28">
        <f t="shared" si="1"/>
        <v>92.453599836834556</v>
      </c>
      <c r="I15" s="42" t="s">
        <v>23</v>
      </c>
      <c r="J15" s="40">
        <f>B21-C21</f>
        <v>1.1000000000000085</v>
      </c>
    </row>
    <row r="16" spans="1:10" x14ac:dyDescent="0.2">
      <c r="A16" s="27">
        <v>0.25</v>
      </c>
      <c r="B16" s="28">
        <v>109.6</v>
      </c>
      <c r="C16" s="28">
        <v>105.6</v>
      </c>
      <c r="D16" s="34">
        <f t="shared" si="2"/>
        <v>4</v>
      </c>
      <c r="E16" s="28">
        <f t="shared" si="0"/>
        <v>8.1582704466652967</v>
      </c>
      <c r="F16" s="27">
        <v>0.35499999999999998</v>
      </c>
      <c r="G16" s="28">
        <f t="shared" si="1"/>
        <v>84.49928615133588</v>
      </c>
      <c r="I16" s="42" t="s">
        <v>24</v>
      </c>
      <c r="J16" s="40">
        <f>(J11-J14)+J15</f>
        <v>23.330000000000009</v>
      </c>
    </row>
    <row r="17" spans="1:10" x14ac:dyDescent="0.2">
      <c r="A17" s="27">
        <v>0.18</v>
      </c>
      <c r="B17" s="28">
        <v>107.4</v>
      </c>
      <c r="C17" s="28">
        <v>104.3</v>
      </c>
      <c r="D17" s="34">
        <f t="shared" si="2"/>
        <v>3.1000000000000085</v>
      </c>
      <c r="E17" s="28">
        <f t="shared" si="0"/>
        <v>6.3226595961656225</v>
      </c>
      <c r="F17" s="27">
        <v>0.25</v>
      </c>
      <c r="G17" s="28">
        <f t="shared" si="1"/>
        <v>76.341015704670582</v>
      </c>
      <c r="I17" s="42" t="s">
        <v>25</v>
      </c>
      <c r="J17" s="40">
        <f>C21</f>
        <v>76.599999999999994</v>
      </c>
    </row>
    <row r="18" spans="1:10" x14ac:dyDescent="0.2">
      <c r="A18" s="27">
        <v>0.125</v>
      </c>
      <c r="B18" s="28">
        <v>107.9</v>
      </c>
      <c r="C18" s="28">
        <v>103.6</v>
      </c>
      <c r="D18" s="34">
        <f t="shared" si="2"/>
        <v>4.3000000000000114</v>
      </c>
      <c r="E18" s="28">
        <f t="shared" si="0"/>
        <v>8.7701407301652186</v>
      </c>
      <c r="F18" s="27">
        <v>0.18</v>
      </c>
      <c r="G18" s="28">
        <f t="shared" si="1"/>
        <v>70.01835610850496</v>
      </c>
      <c r="I18" s="42" t="s">
        <v>26</v>
      </c>
      <c r="J18" s="40">
        <f>J16+J17</f>
        <v>99.93</v>
      </c>
    </row>
    <row r="19" spans="1:10" x14ac:dyDescent="0.2">
      <c r="A19" s="27">
        <v>0.09</v>
      </c>
      <c r="B19" s="28">
        <v>107.4</v>
      </c>
      <c r="C19" s="28">
        <v>104.4</v>
      </c>
      <c r="D19" s="34">
        <f t="shared" si="2"/>
        <v>3</v>
      </c>
      <c r="E19" s="28">
        <f t="shared" si="0"/>
        <v>6.1187028349989729</v>
      </c>
      <c r="F19" s="27">
        <v>0.125</v>
      </c>
      <c r="G19" s="28">
        <f t="shared" si="1"/>
        <v>61.248215378339744</v>
      </c>
    </row>
    <row r="20" spans="1:10" x14ac:dyDescent="0.2">
      <c r="A20" s="27">
        <v>6.3E-2</v>
      </c>
      <c r="B20" s="28">
        <v>106.8</v>
      </c>
      <c r="C20" s="28">
        <v>104.2</v>
      </c>
      <c r="D20" s="34">
        <f t="shared" si="2"/>
        <v>2.5999999999999943</v>
      </c>
      <c r="E20" s="28">
        <f t="shared" si="0"/>
        <v>5.3028757903324317</v>
      </c>
      <c r="F20" s="27">
        <v>0.09</v>
      </c>
      <c r="G20" s="28">
        <f t="shared" si="1"/>
        <v>55.129512543340773</v>
      </c>
    </row>
    <row r="21" spans="1:10" x14ac:dyDescent="0.2">
      <c r="A21" s="2" t="s">
        <v>25</v>
      </c>
      <c r="B21" s="28">
        <v>77.7</v>
      </c>
      <c r="C21" s="28">
        <v>76.599999999999994</v>
      </c>
      <c r="D21" s="34">
        <f>(B21-C21)+J16</f>
        <v>24.430000000000017</v>
      </c>
      <c r="E21" s="28">
        <f t="shared" si="0"/>
        <v>49.826636753008344</v>
      </c>
      <c r="F21" s="27">
        <v>6.3E-2</v>
      </c>
      <c r="G21" s="28">
        <f>E21</f>
        <v>49.826636753008344</v>
      </c>
    </row>
    <row r="22" spans="1:10" x14ac:dyDescent="0.2">
      <c r="A22" s="2" t="s">
        <v>27</v>
      </c>
      <c r="B22" s="2"/>
      <c r="C22" s="21"/>
      <c r="D22" s="36">
        <f>SUM(D9:D21)</f>
        <v>49.030000000000058</v>
      </c>
      <c r="E22" s="28">
        <f t="shared" si="0"/>
        <v>100</v>
      </c>
      <c r="F22" s="21"/>
      <c r="G22" s="28"/>
    </row>
    <row r="47" spans="1:5" x14ac:dyDescent="0.2">
      <c r="A47" t="s">
        <v>28</v>
      </c>
      <c r="D47" s="2" t="s">
        <v>29</v>
      </c>
      <c r="E47" s="14">
        <v>0.22</v>
      </c>
    </row>
    <row r="48" spans="1:5" x14ac:dyDescent="0.2">
      <c r="A48" t="s">
        <v>30</v>
      </c>
      <c r="D48" s="2" t="s">
        <v>31</v>
      </c>
      <c r="E48" s="14">
        <v>0.28000000000000003</v>
      </c>
    </row>
    <row r="49" spans="1:5" x14ac:dyDescent="0.2">
      <c r="A49" t="s">
        <v>32</v>
      </c>
      <c r="D49" s="2" t="s">
        <v>33</v>
      </c>
      <c r="E49" s="14">
        <v>7.4999999999999997E-2</v>
      </c>
    </row>
    <row r="50" spans="1:5" x14ac:dyDescent="0.2">
      <c r="A50" t="s">
        <v>34</v>
      </c>
      <c r="C50" t="s">
        <v>35</v>
      </c>
      <c r="E50" s="18">
        <f>E48/E49</f>
        <v>3.7333333333333338</v>
      </c>
    </row>
    <row r="51" spans="1:5" x14ac:dyDescent="0.2">
      <c r="A51" t="s">
        <v>36</v>
      </c>
      <c r="C51" t="s">
        <v>37</v>
      </c>
      <c r="E51" s="18">
        <f>SQRT(E52/E53)</f>
        <v>1.3416407864998738</v>
      </c>
    </row>
    <row r="52" spans="1:5" x14ac:dyDescent="0.2">
      <c r="A52" t="s">
        <v>38</v>
      </c>
      <c r="D52" s="2" t="s">
        <v>39</v>
      </c>
      <c r="E52" s="14">
        <v>0.18</v>
      </c>
    </row>
    <row r="53" spans="1:5" x14ac:dyDescent="0.2">
      <c r="D53" s="2" t="s">
        <v>40</v>
      </c>
      <c r="E53" s="14">
        <v>0.1</v>
      </c>
    </row>
    <row r="57" spans="1:5" x14ac:dyDescent="0.2">
      <c r="A57" t="s">
        <v>71</v>
      </c>
      <c r="B57" t="s">
        <v>69</v>
      </c>
      <c r="C57" t="s">
        <v>70</v>
      </c>
    </row>
    <row r="58" spans="1:5" x14ac:dyDescent="0.2">
      <c r="A58">
        <f>B58/1000</f>
        <v>9.9500000000000006E-5</v>
      </c>
      <c r="B58">
        <v>9.9500000000000005E-2</v>
      </c>
      <c r="C58">
        <v>0</v>
      </c>
    </row>
    <row r="59" spans="1:5" x14ac:dyDescent="0.2">
      <c r="A59">
        <f t="shared" ref="A59:A122" si="3">B59/1000</f>
        <v>1.1300000000000001E-4</v>
      </c>
      <c r="B59">
        <v>0.113</v>
      </c>
      <c r="C59">
        <v>0</v>
      </c>
    </row>
    <row r="60" spans="1:5" x14ac:dyDescent="0.2">
      <c r="A60">
        <f t="shared" si="3"/>
        <v>1.2799999999999999E-4</v>
      </c>
      <c r="B60">
        <v>0.128</v>
      </c>
      <c r="C60">
        <v>0</v>
      </c>
    </row>
    <row r="61" spans="1:5" x14ac:dyDescent="0.2">
      <c r="A61">
        <f t="shared" si="3"/>
        <v>1.46E-4</v>
      </c>
      <c r="B61">
        <v>0.14599999999999999</v>
      </c>
      <c r="C61">
        <v>0</v>
      </c>
    </row>
    <row r="62" spans="1:5" x14ac:dyDescent="0.2">
      <c r="A62">
        <f t="shared" si="3"/>
        <v>1.66E-4</v>
      </c>
      <c r="B62">
        <v>0.16600000000000001</v>
      </c>
      <c r="C62">
        <v>0</v>
      </c>
    </row>
    <row r="63" spans="1:5" x14ac:dyDescent="0.2">
      <c r="A63">
        <f t="shared" si="3"/>
        <v>1.8799999999999999E-4</v>
      </c>
      <c r="B63">
        <v>0.188</v>
      </c>
      <c r="C63">
        <v>0</v>
      </c>
    </row>
    <row r="64" spans="1:5" x14ac:dyDescent="0.2">
      <c r="A64">
        <f t="shared" si="3"/>
        <v>2.14E-4</v>
      </c>
      <c r="B64">
        <v>0.214</v>
      </c>
      <c r="C64">
        <v>0</v>
      </c>
    </row>
    <row r="65" spans="1:5" x14ac:dyDescent="0.2">
      <c r="A65">
        <f t="shared" si="3"/>
        <v>2.43E-4</v>
      </c>
      <c r="B65">
        <v>0.24299999999999999</v>
      </c>
      <c r="C65">
        <v>0</v>
      </c>
    </row>
    <row r="66" spans="1:5" x14ac:dyDescent="0.2">
      <c r="A66">
        <f t="shared" si="3"/>
        <v>2.7600000000000004E-4</v>
      </c>
      <c r="B66">
        <v>0.27600000000000002</v>
      </c>
      <c r="C66">
        <v>0</v>
      </c>
    </row>
    <row r="67" spans="1:5" x14ac:dyDescent="0.2">
      <c r="A67">
        <f t="shared" si="3"/>
        <v>3.1399999999999999E-4</v>
      </c>
      <c r="B67">
        <v>0.314</v>
      </c>
      <c r="C67">
        <v>0</v>
      </c>
    </row>
    <row r="68" spans="1:5" x14ac:dyDescent="0.2">
      <c r="A68">
        <f t="shared" si="3"/>
        <v>3.57E-4</v>
      </c>
      <c r="B68">
        <v>0.35699999999999998</v>
      </c>
      <c r="C68">
        <v>0</v>
      </c>
    </row>
    <row r="69" spans="1:5" x14ac:dyDescent="0.2">
      <c r="A69">
        <f t="shared" si="3"/>
        <v>4.0500000000000003E-4</v>
      </c>
      <c r="B69">
        <v>0.40500000000000003</v>
      </c>
      <c r="C69">
        <v>0</v>
      </c>
    </row>
    <row r="70" spans="1:5" x14ac:dyDescent="0.2">
      <c r="A70">
        <f t="shared" si="3"/>
        <v>4.6000000000000001E-4</v>
      </c>
      <c r="B70">
        <v>0.46</v>
      </c>
      <c r="C70">
        <v>0</v>
      </c>
    </row>
    <row r="71" spans="1:5" x14ac:dyDescent="0.2">
      <c r="A71">
        <f t="shared" si="3"/>
        <v>5.2300000000000003E-4</v>
      </c>
      <c r="B71">
        <v>0.52300000000000002</v>
      </c>
      <c r="C71">
        <v>0</v>
      </c>
    </row>
    <row r="72" spans="1:5" x14ac:dyDescent="0.2">
      <c r="A72">
        <f t="shared" si="3"/>
        <v>5.9400000000000002E-4</v>
      </c>
      <c r="B72">
        <v>0.59399999999999997</v>
      </c>
      <c r="C72">
        <v>0</v>
      </c>
    </row>
    <row r="73" spans="1:5" x14ac:dyDescent="0.2">
      <c r="A73">
        <f t="shared" si="3"/>
        <v>6.7500000000000004E-4</v>
      </c>
      <c r="B73">
        <v>0.67500000000000004</v>
      </c>
      <c r="C73">
        <v>0</v>
      </c>
    </row>
    <row r="74" spans="1:5" x14ac:dyDescent="0.2">
      <c r="A74">
        <f t="shared" si="3"/>
        <v>7.67E-4</v>
      </c>
      <c r="B74">
        <v>0.76700000000000002</v>
      </c>
      <c r="C74">
        <v>0</v>
      </c>
    </row>
    <row r="75" spans="1:5" x14ac:dyDescent="0.2">
      <c r="A75">
        <f t="shared" si="3"/>
        <v>8.7199999999999995E-4</v>
      </c>
      <c r="B75">
        <v>0.872</v>
      </c>
      <c r="C75">
        <v>0.15</v>
      </c>
      <c r="D75">
        <f>C74+C75</f>
        <v>0.15</v>
      </c>
      <c r="E75">
        <f>(D75*$E$21)/100</f>
        <v>7.4739955129512523E-2</v>
      </c>
    </row>
    <row r="76" spans="1:5" x14ac:dyDescent="0.2">
      <c r="A76">
        <f t="shared" si="3"/>
        <v>9.9099999999999991E-4</v>
      </c>
      <c r="B76">
        <v>0.99099999999999999</v>
      </c>
      <c r="C76">
        <v>0.34</v>
      </c>
      <c r="D76">
        <f>D75+C76</f>
        <v>0.49</v>
      </c>
      <c r="E76">
        <f>(D76*$E$21)/100</f>
        <v>0.24415052008974086</v>
      </c>
    </row>
    <row r="77" spans="1:5" x14ac:dyDescent="0.2">
      <c r="A77">
        <f t="shared" si="3"/>
        <v>1.1299999999999999E-3</v>
      </c>
      <c r="B77">
        <v>1.1299999999999999</v>
      </c>
      <c r="C77">
        <v>0.63</v>
      </c>
      <c r="D77">
        <f t="shared" ref="D77:D137" si="4">D76+C77</f>
        <v>1.1200000000000001</v>
      </c>
      <c r="E77">
        <f t="shared" ref="E77:E137" si="5">(D77*$E$21)/100</f>
        <v>0.55805833163369345</v>
      </c>
    </row>
    <row r="78" spans="1:5" x14ac:dyDescent="0.2">
      <c r="A78">
        <f t="shared" si="3"/>
        <v>1.2800000000000001E-3</v>
      </c>
      <c r="B78">
        <v>1.28</v>
      </c>
      <c r="C78">
        <v>0.98</v>
      </c>
      <c r="D78">
        <f t="shared" si="4"/>
        <v>2.1</v>
      </c>
      <c r="E78">
        <f t="shared" si="5"/>
        <v>1.0463593718131754</v>
      </c>
    </row>
    <row r="79" spans="1:5" x14ac:dyDescent="0.2">
      <c r="A79">
        <f t="shared" si="3"/>
        <v>1.4499999999999999E-3</v>
      </c>
      <c r="B79">
        <v>1.45</v>
      </c>
      <c r="C79">
        <v>1.39</v>
      </c>
      <c r="D79">
        <f t="shared" si="4"/>
        <v>3.49</v>
      </c>
      <c r="E79">
        <f t="shared" si="5"/>
        <v>1.7389496226799912</v>
      </c>
    </row>
    <row r="80" spans="1:5" x14ac:dyDescent="0.2">
      <c r="A80">
        <f t="shared" si="3"/>
        <v>1.65E-3</v>
      </c>
      <c r="B80">
        <v>1.65</v>
      </c>
      <c r="C80">
        <v>1.82</v>
      </c>
      <c r="D80">
        <f t="shared" si="4"/>
        <v>5.3100000000000005</v>
      </c>
      <c r="E80">
        <f t="shared" si="5"/>
        <v>2.6457944115847432</v>
      </c>
    </row>
    <row r="81" spans="1:5" x14ac:dyDescent="0.2">
      <c r="A81">
        <f t="shared" si="3"/>
        <v>1.8799999999999999E-3</v>
      </c>
      <c r="B81">
        <v>1.88</v>
      </c>
      <c r="C81">
        <v>2.25</v>
      </c>
      <c r="D81">
        <f t="shared" si="4"/>
        <v>7.5600000000000005</v>
      </c>
      <c r="E81">
        <f t="shared" si="5"/>
        <v>3.7668937385274313</v>
      </c>
    </row>
    <row r="82" spans="1:5" x14ac:dyDescent="0.2">
      <c r="A82" s="49">
        <f t="shared" si="3"/>
        <v>2.1299999999999999E-3</v>
      </c>
      <c r="B82" s="49">
        <v>2.13</v>
      </c>
      <c r="C82" s="49">
        <v>2.66</v>
      </c>
      <c r="D82" s="49">
        <f t="shared" si="4"/>
        <v>10.220000000000001</v>
      </c>
      <c r="E82" s="49">
        <f t="shared" si="5"/>
        <v>5.0922822761574533</v>
      </c>
    </row>
    <row r="83" spans="1:5" x14ac:dyDescent="0.2">
      <c r="A83">
        <f t="shared" si="3"/>
        <v>2.4199999999999998E-3</v>
      </c>
      <c r="B83">
        <v>2.42</v>
      </c>
      <c r="C83">
        <v>3.04</v>
      </c>
      <c r="D83">
        <f t="shared" si="4"/>
        <v>13.260000000000002</v>
      </c>
      <c r="E83">
        <f t="shared" si="5"/>
        <v>6.6070120334489069</v>
      </c>
    </row>
    <row r="84" spans="1:5" x14ac:dyDescent="0.2">
      <c r="A84">
        <f t="shared" si="3"/>
        <v>2.7499999999999998E-3</v>
      </c>
      <c r="B84">
        <v>2.75</v>
      </c>
      <c r="C84">
        <v>3.4</v>
      </c>
      <c r="D84">
        <f t="shared" si="4"/>
        <v>16.66</v>
      </c>
      <c r="E84">
        <f t="shared" si="5"/>
        <v>8.3011176830511904</v>
      </c>
    </row>
    <row r="85" spans="1:5" x14ac:dyDescent="0.2">
      <c r="A85">
        <f t="shared" si="3"/>
        <v>3.1199999999999999E-3</v>
      </c>
      <c r="B85">
        <v>3.12</v>
      </c>
      <c r="C85">
        <v>3.75</v>
      </c>
      <c r="D85">
        <f t="shared" si="4"/>
        <v>20.41</v>
      </c>
      <c r="E85">
        <f t="shared" si="5"/>
        <v>10.169616561289004</v>
      </c>
    </row>
    <row r="86" spans="1:5" x14ac:dyDescent="0.2">
      <c r="A86">
        <f t="shared" si="3"/>
        <v>3.5499999999999998E-3</v>
      </c>
      <c r="B86">
        <v>3.55</v>
      </c>
      <c r="C86">
        <v>4.08</v>
      </c>
      <c r="D86">
        <f t="shared" si="4"/>
        <v>24.490000000000002</v>
      </c>
      <c r="E86">
        <f t="shared" si="5"/>
        <v>12.202543340811744</v>
      </c>
    </row>
    <row r="87" spans="1:5" x14ac:dyDescent="0.2">
      <c r="A87">
        <f t="shared" si="3"/>
        <v>4.0300000000000006E-3</v>
      </c>
      <c r="B87">
        <v>4.03</v>
      </c>
      <c r="C87">
        <v>4.3899999999999997</v>
      </c>
      <c r="D87">
        <f t="shared" si="4"/>
        <v>28.880000000000003</v>
      </c>
      <c r="E87">
        <f t="shared" si="5"/>
        <v>14.389932694268811</v>
      </c>
    </row>
    <row r="88" spans="1:5" x14ac:dyDescent="0.2">
      <c r="A88">
        <f t="shared" si="3"/>
        <v>4.5799999999999999E-3</v>
      </c>
      <c r="B88">
        <v>4.58</v>
      </c>
      <c r="C88">
        <v>4.67</v>
      </c>
      <c r="D88">
        <f t="shared" si="4"/>
        <v>33.550000000000004</v>
      </c>
      <c r="E88">
        <f t="shared" si="5"/>
        <v>16.716836630634301</v>
      </c>
    </row>
    <row r="89" spans="1:5" x14ac:dyDescent="0.2">
      <c r="A89">
        <f t="shared" si="3"/>
        <v>5.2100000000000002E-3</v>
      </c>
      <c r="B89">
        <v>5.21</v>
      </c>
      <c r="C89">
        <v>4.9000000000000004</v>
      </c>
      <c r="D89">
        <f t="shared" si="4"/>
        <v>38.450000000000003</v>
      </c>
      <c r="E89">
        <f t="shared" si="5"/>
        <v>19.158341831531708</v>
      </c>
    </row>
    <row r="90" spans="1:5" x14ac:dyDescent="0.2">
      <c r="A90">
        <f t="shared" si="3"/>
        <v>5.9199999999999999E-3</v>
      </c>
      <c r="B90">
        <v>5.92</v>
      </c>
      <c r="C90">
        <v>5.07</v>
      </c>
      <c r="D90">
        <f t="shared" si="4"/>
        <v>43.52</v>
      </c>
      <c r="E90">
        <f t="shared" si="5"/>
        <v>21.684552314909233</v>
      </c>
    </row>
    <row r="91" spans="1:5" x14ac:dyDescent="0.2">
      <c r="A91">
        <f t="shared" si="3"/>
        <v>6.7199999999999994E-3</v>
      </c>
      <c r="B91">
        <v>6.72</v>
      </c>
      <c r="C91">
        <v>5.19</v>
      </c>
      <c r="D91">
        <f t="shared" si="4"/>
        <v>48.71</v>
      </c>
      <c r="E91">
        <f t="shared" si="5"/>
        <v>24.270554762390365</v>
      </c>
    </row>
    <row r="92" spans="1:5" x14ac:dyDescent="0.2">
      <c r="A92">
        <f t="shared" si="3"/>
        <v>7.6400000000000001E-3</v>
      </c>
      <c r="B92">
        <v>7.64</v>
      </c>
      <c r="C92">
        <v>5.24</v>
      </c>
      <c r="D92">
        <f t="shared" si="4"/>
        <v>53.95</v>
      </c>
      <c r="E92">
        <f t="shared" si="5"/>
        <v>26.881470528248006</v>
      </c>
    </row>
    <row r="93" spans="1:5" x14ac:dyDescent="0.2">
      <c r="A93">
        <f t="shared" si="3"/>
        <v>8.6800000000000002E-3</v>
      </c>
      <c r="B93">
        <v>8.68</v>
      </c>
      <c r="C93">
        <v>5.22</v>
      </c>
      <c r="D93">
        <f t="shared" si="4"/>
        <v>59.17</v>
      </c>
      <c r="E93">
        <f t="shared" si="5"/>
        <v>29.48242096675504</v>
      </c>
    </row>
    <row r="94" spans="1:5" x14ac:dyDescent="0.2">
      <c r="A94">
        <f t="shared" si="3"/>
        <v>9.859999999999999E-3</v>
      </c>
      <c r="B94">
        <v>9.86</v>
      </c>
      <c r="C94">
        <v>5.13</v>
      </c>
      <c r="D94">
        <f t="shared" si="4"/>
        <v>64.3</v>
      </c>
      <c r="E94">
        <f t="shared" si="5"/>
        <v>32.038527432184367</v>
      </c>
    </row>
    <row r="95" spans="1:5" x14ac:dyDescent="0.2">
      <c r="A95">
        <f t="shared" si="3"/>
        <v>1.12E-2</v>
      </c>
      <c r="B95">
        <v>11.2</v>
      </c>
      <c r="C95">
        <v>4.9800000000000004</v>
      </c>
      <c r="D95">
        <f t="shared" si="4"/>
        <v>69.28</v>
      </c>
      <c r="E95">
        <f t="shared" si="5"/>
        <v>34.519893942484181</v>
      </c>
    </row>
    <row r="96" spans="1:5" x14ac:dyDescent="0.2">
      <c r="A96">
        <f t="shared" si="3"/>
        <v>1.2699999999999999E-2</v>
      </c>
      <c r="B96">
        <v>12.7</v>
      </c>
      <c r="C96">
        <v>4.76</v>
      </c>
      <c r="D96">
        <f t="shared" si="4"/>
        <v>74.040000000000006</v>
      </c>
      <c r="E96">
        <f t="shared" si="5"/>
        <v>36.891641851927382</v>
      </c>
    </row>
    <row r="97" spans="1:5" x14ac:dyDescent="0.2">
      <c r="A97">
        <f t="shared" si="3"/>
        <v>1.4500000000000001E-2</v>
      </c>
      <c r="B97">
        <v>14.5</v>
      </c>
      <c r="C97">
        <v>4.47</v>
      </c>
      <c r="D97">
        <f t="shared" si="4"/>
        <v>78.510000000000005</v>
      </c>
      <c r="E97">
        <f t="shared" si="5"/>
        <v>39.11889251478685</v>
      </c>
    </row>
    <row r="98" spans="1:5" x14ac:dyDescent="0.2">
      <c r="A98">
        <f t="shared" si="3"/>
        <v>1.6399999999999998E-2</v>
      </c>
      <c r="B98">
        <v>16.399999999999999</v>
      </c>
      <c r="C98">
        <v>4.12</v>
      </c>
      <c r="D98">
        <f t="shared" si="4"/>
        <v>82.63000000000001</v>
      </c>
      <c r="E98">
        <f t="shared" si="5"/>
        <v>41.171749949010803</v>
      </c>
    </row>
    <row r="99" spans="1:5" x14ac:dyDescent="0.2">
      <c r="A99">
        <f t="shared" si="3"/>
        <v>1.8699999999999998E-2</v>
      </c>
      <c r="B99">
        <v>18.7</v>
      </c>
      <c r="C99">
        <v>3.7</v>
      </c>
      <c r="D99">
        <f t="shared" si="4"/>
        <v>86.330000000000013</v>
      </c>
      <c r="E99">
        <f t="shared" si="5"/>
        <v>43.015335508872113</v>
      </c>
    </row>
    <row r="100" spans="1:5" x14ac:dyDescent="0.2">
      <c r="A100">
        <f t="shared" si="3"/>
        <v>2.12E-2</v>
      </c>
      <c r="B100">
        <v>21.2</v>
      </c>
      <c r="C100">
        <v>3.23</v>
      </c>
      <c r="D100">
        <f t="shared" si="4"/>
        <v>89.560000000000016</v>
      </c>
      <c r="E100">
        <f t="shared" si="5"/>
        <v>44.624735875994283</v>
      </c>
    </row>
    <row r="101" spans="1:5" x14ac:dyDescent="0.2">
      <c r="A101">
        <f t="shared" si="3"/>
        <v>2.41E-2</v>
      </c>
      <c r="B101">
        <v>24.1</v>
      </c>
      <c r="C101">
        <v>2.72</v>
      </c>
      <c r="D101">
        <f t="shared" si="4"/>
        <v>92.280000000000015</v>
      </c>
      <c r="E101">
        <f t="shared" si="5"/>
        <v>45.980020395676114</v>
      </c>
    </row>
    <row r="102" spans="1:5" x14ac:dyDescent="0.2">
      <c r="A102">
        <f t="shared" si="3"/>
        <v>2.7399999999999997E-2</v>
      </c>
      <c r="B102">
        <v>27.4</v>
      </c>
      <c r="C102">
        <v>2.19</v>
      </c>
      <c r="D102">
        <f t="shared" si="4"/>
        <v>94.470000000000013</v>
      </c>
      <c r="E102">
        <f t="shared" si="5"/>
        <v>47.071223740566992</v>
      </c>
    </row>
    <row r="103" spans="1:5" x14ac:dyDescent="0.2">
      <c r="A103">
        <f t="shared" si="3"/>
        <v>3.1100000000000003E-2</v>
      </c>
      <c r="B103">
        <v>31.1</v>
      </c>
      <c r="C103">
        <v>1.68</v>
      </c>
      <c r="D103">
        <f t="shared" si="4"/>
        <v>96.15000000000002</v>
      </c>
      <c r="E103">
        <f t="shared" si="5"/>
        <v>47.908311238017532</v>
      </c>
    </row>
    <row r="104" spans="1:5" x14ac:dyDescent="0.2">
      <c r="A104">
        <f t="shared" si="3"/>
        <v>3.5299999999999998E-2</v>
      </c>
      <c r="B104">
        <v>35.299999999999997</v>
      </c>
      <c r="C104">
        <v>1.22</v>
      </c>
      <c r="D104">
        <f t="shared" si="4"/>
        <v>97.370000000000019</v>
      </c>
      <c r="E104">
        <f t="shared" si="5"/>
        <v>48.516196206404238</v>
      </c>
    </row>
    <row r="105" spans="1:5" x14ac:dyDescent="0.2">
      <c r="A105">
        <f t="shared" si="3"/>
        <v>4.0100000000000004E-2</v>
      </c>
      <c r="B105">
        <v>40.1</v>
      </c>
      <c r="C105">
        <v>0.84</v>
      </c>
      <c r="D105">
        <f t="shared" si="4"/>
        <v>98.210000000000022</v>
      </c>
      <c r="E105">
        <f t="shared" si="5"/>
        <v>48.934739955129508</v>
      </c>
    </row>
    <row r="106" spans="1:5" x14ac:dyDescent="0.2">
      <c r="A106">
        <f t="shared" si="3"/>
        <v>4.5600000000000002E-2</v>
      </c>
      <c r="B106">
        <v>45.6</v>
      </c>
      <c r="C106">
        <v>0.55000000000000004</v>
      </c>
      <c r="D106">
        <f t="shared" si="4"/>
        <v>98.760000000000019</v>
      </c>
      <c r="E106">
        <f t="shared" si="5"/>
        <v>49.208786457271053</v>
      </c>
    </row>
    <row r="107" spans="1:5" x14ac:dyDescent="0.2">
      <c r="A107">
        <f t="shared" si="3"/>
        <v>5.1799999999999999E-2</v>
      </c>
      <c r="B107">
        <v>51.8</v>
      </c>
      <c r="C107">
        <v>0.35</v>
      </c>
      <c r="D107">
        <f t="shared" si="4"/>
        <v>99.110000000000014</v>
      </c>
      <c r="E107">
        <f t="shared" si="5"/>
        <v>49.383179685906583</v>
      </c>
    </row>
    <row r="108" spans="1:5" x14ac:dyDescent="0.2">
      <c r="A108">
        <f t="shared" si="3"/>
        <v>5.8900000000000001E-2</v>
      </c>
      <c r="B108">
        <v>58.9</v>
      </c>
      <c r="C108">
        <v>0.23</v>
      </c>
      <c r="D108">
        <f t="shared" si="4"/>
        <v>99.340000000000018</v>
      </c>
      <c r="E108">
        <f t="shared" si="5"/>
        <v>49.497780950438504</v>
      </c>
    </row>
    <row r="109" spans="1:5" x14ac:dyDescent="0.2">
      <c r="A109">
        <f t="shared" si="3"/>
        <v>6.6900000000000001E-2</v>
      </c>
      <c r="B109">
        <v>66.900000000000006</v>
      </c>
      <c r="C109">
        <v>0.17</v>
      </c>
      <c r="D109">
        <f t="shared" si="4"/>
        <v>99.510000000000019</v>
      </c>
      <c r="E109">
        <f t="shared" si="5"/>
        <v>49.582486232918612</v>
      </c>
    </row>
    <row r="110" spans="1:5" x14ac:dyDescent="0.2">
      <c r="A110">
        <f t="shared" si="3"/>
        <v>7.5999999999999998E-2</v>
      </c>
      <c r="B110">
        <v>76</v>
      </c>
      <c r="C110">
        <v>0.14000000000000001</v>
      </c>
      <c r="D110">
        <f t="shared" si="4"/>
        <v>99.65000000000002</v>
      </c>
      <c r="E110">
        <f t="shared" si="5"/>
        <v>49.652243524372828</v>
      </c>
    </row>
    <row r="111" spans="1:5" x14ac:dyDescent="0.2">
      <c r="A111">
        <f t="shared" si="3"/>
        <v>8.6400000000000005E-2</v>
      </c>
      <c r="B111">
        <v>86.4</v>
      </c>
      <c r="C111">
        <v>0.12</v>
      </c>
      <c r="D111">
        <f t="shared" si="4"/>
        <v>99.770000000000024</v>
      </c>
      <c r="E111">
        <f t="shared" si="5"/>
        <v>49.712035488476438</v>
      </c>
    </row>
    <row r="112" spans="1:5" x14ac:dyDescent="0.2">
      <c r="A112">
        <f t="shared" si="3"/>
        <v>9.8099999999999993E-2</v>
      </c>
      <c r="B112">
        <v>98.1</v>
      </c>
      <c r="C112">
        <v>0.11</v>
      </c>
      <c r="D112">
        <f t="shared" si="4"/>
        <v>99.880000000000024</v>
      </c>
      <c r="E112">
        <f t="shared" si="5"/>
        <v>49.766844788904748</v>
      </c>
    </row>
    <row r="113" spans="1:5" x14ac:dyDescent="0.2">
      <c r="A113">
        <f t="shared" si="3"/>
        <v>0.111</v>
      </c>
      <c r="B113">
        <v>111</v>
      </c>
      <c r="C113">
        <v>0.09</v>
      </c>
      <c r="D113">
        <f t="shared" si="4"/>
        <v>99.970000000000027</v>
      </c>
      <c r="E113">
        <f t="shared" si="5"/>
        <v>49.81168876198246</v>
      </c>
    </row>
    <row r="114" spans="1:5" x14ac:dyDescent="0.2">
      <c r="A114">
        <f t="shared" si="3"/>
        <v>0.127</v>
      </c>
      <c r="B114">
        <v>127</v>
      </c>
      <c r="C114">
        <v>0.04</v>
      </c>
      <c r="D114">
        <f t="shared" si="4"/>
        <v>100.01000000000003</v>
      </c>
      <c r="E114">
        <f t="shared" si="5"/>
        <v>49.831619416683658</v>
      </c>
    </row>
    <row r="115" spans="1:5" x14ac:dyDescent="0.2">
      <c r="A115">
        <f t="shared" si="3"/>
        <v>0.14399999999999999</v>
      </c>
      <c r="B115">
        <v>144</v>
      </c>
      <c r="C115">
        <v>0.02</v>
      </c>
      <c r="D115">
        <f t="shared" si="4"/>
        <v>100.03000000000003</v>
      </c>
      <c r="E115">
        <f t="shared" si="5"/>
        <v>49.841584744034265</v>
      </c>
    </row>
    <row r="116" spans="1:5" x14ac:dyDescent="0.2">
      <c r="A116">
        <f t="shared" si="3"/>
        <v>0.16300000000000001</v>
      </c>
      <c r="B116">
        <v>163</v>
      </c>
      <c r="C116">
        <v>0</v>
      </c>
      <c r="D116">
        <f t="shared" si="4"/>
        <v>100.03000000000003</v>
      </c>
      <c r="E116">
        <f t="shared" si="5"/>
        <v>49.841584744034265</v>
      </c>
    </row>
    <row r="117" spans="1:5" x14ac:dyDescent="0.2">
      <c r="A117">
        <f t="shared" si="3"/>
        <v>0.186</v>
      </c>
      <c r="B117">
        <v>186</v>
      </c>
      <c r="C117">
        <v>0</v>
      </c>
      <c r="D117">
        <f t="shared" si="4"/>
        <v>100.03000000000003</v>
      </c>
      <c r="E117">
        <f t="shared" si="5"/>
        <v>49.841584744034265</v>
      </c>
    </row>
    <row r="118" spans="1:5" x14ac:dyDescent="0.2">
      <c r="A118">
        <f t="shared" si="3"/>
        <v>0.21099999999999999</v>
      </c>
      <c r="B118">
        <v>211</v>
      </c>
      <c r="C118">
        <v>0</v>
      </c>
      <c r="D118">
        <f t="shared" si="4"/>
        <v>100.03000000000003</v>
      </c>
      <c r="E118">
        <f t="shared" si="5"/>
        <v>49.841584744034265</v>
      </c>
    </row>
    <row r="119" spans="1:5" x14ac:dyDescent="0.2">
      <c r="A119">
        <f t="shared" si="3"/>
        <v>0.24</v>
      </c>
      <c r="B119">
        <v>240</v>
      </c>
      <c r="C119">
        <v>0</v>
      </c>
      <c r="D119">
        <f t="shared" si="4"/>
        <v>100.03000000000003</v>
      </c>
      <c r="E119">
        <f t="shared" si="5"/>
        <v>49.841584744034265</v>
      </c>
    </row>
    <row r="120" spans="1:5" x14ac:dyDescent="0.2">
      <c r="A120">
        <f t="shared" si="3"/>
        <v>0.27200000000000002</v>
      </c>
      <c r="B120">
        <v>272</v>
      </c>
      <c r="C120">
        <v>0</v>
      </c>
      <c r="D120">
        <f t="shared" si="4"/>
        <v>100.03000000000003</v>
      </c>
      <c r="E120">
        <f t="shared" si="5"/>
        <v>49.841584744034265</v>
      </c>
    </row>
    <row r="121" spans="1:5" x14ac:dyDescent="0.2">
      <c r="A121">
        <f t="shared" si="3"/>
        <v>0.31</v>
      </c>
      <c r="B121">
        <v>310</v>
      </c>
      <c r="C121">
        <v>0</v>
      </c>
      <c r="D121">
        <f t="shared" si="4"/>
        <v>100.03000000000003</v>
      </c>
      <c r="E121">
        <f t="shared" si="5"/>
        <v>49.841584744034265</v>
      </c>
    </row>
    <row r="122" spans="1:5" x14ac:dyDescent="0.2">
      <c r="A122">
        <f t="shared" si="3"/>
        <v>0.35199999999999998</v>
      </c>
      <c r="B122">
        <v>352</v>
      </c>
      <c r="C122">
        <v>0</v>
      </c>
      <c r="D122">
        <f t="shared" si="4"/>
        <v>100.03000000000003</v>
      </c>
      <c r="E122">
        <f t="shared" si="5"/>
        <v>49.841584744034265</v>
      </c>
    </row>
    <row r="123" spans="1:5" x14ac:dyDescent="0.2">
      <c r="A123">
        <f t="shared" ref="A123:A137" si="6">B123/1000</f>
        <v>0.4</v>
      </c>
      <c r="B123">
        <v>400</v>
      </c>
      <c r="C123">
        <v>0</v>
      </c>
      <c r="D123">
        <f t="shared" si="4"/>
        <v>100.03000000000003</v>
      </c>
      <c r="E123">
        <f t="shared" si="5"/>
        <v>49.841584744034265</v>
      </c>
    </row>
    <row r="124" spans="1:5" x14ac:dyDescent="0.2">
      <c r="A124">
        <f t="shared" si="6"/>
        <v>0.45400000000000001</v>
      </c>
      <c r="B124">
        <v>454</v>
      </c>
      <c r="C124">
        <v>0</v>
      </c>
      <c r="D124">
        <f t="shared" si="4"/>
        <v>100.03000000000003</v>
      </c>
      <c r="E124">
        <f t="shared" si="5"/>
        <v>49.841584744034265</v>
      </c>
    </row>
    <row r="125" spans="1:5" x14ac:dyDescent="0.2">
      <c r="A125">
        <f t="shared" si="6"/>
        <v>0.51600000000000001</v>
      </c>
      <c r="B125">
        <v>516</v>
      </c>
      <c r="C125">
        <v>0</v>
      </c>
      <c r="D125">
        <f t="shared" si="4"/>
        <v>100.03000000000003</v>
      </c>
      <c r="E125">
        <f t="shared" si="5"/>
        <v>49.841584744034265</v>
      </c>
    </row>
    <row r="126" spans="1:5" x14ac:dyDescent="0.2">
      <c r="A126">
        <f t="shared" si="6"/>
        <v>0.58599999999999997</v>
      </c>
      <c r="B126">
        <v>586</v>
      </c>
      <c r="C126">
        <v>0</v>
      </c>
      <c r="D126">
        <f t="shared" si="4"/>
        <v>100.03000000000003</v>
      </c>
      <c r="E126">
        <f t="shared" si="5"/>
        <v>49.841584744034265</v>
      </c>
    </row>
    <row r="127" spans="1:5" x14ac:dyDescent="0.2">
      <c r="A127">
        <f t="shared" si="6"/>
        <v>0.66600000000000004</v>
      </c>
      <c r="B127">
        <v>666</v>
      </c>
      <c r="C127">
        <v>0</v>
      </c>
      <c r="D127">
        <f t="shared" si="4"/>
        <v>100.03000000000003</v>
      </c>
      <c r="E127">
        <f t="shared" si="5"/>
        <v>49.841584744034265</v>
      </c>
    </row>
    <row r="128" spans="1:5" x14ac:dyDescent="0.2">
      <c r="A128">
        <f t="shared" si="6"/>
        <v>0.75600000000000001</v>
      </c>
      <c r="B128">
        <v>756</v>
      </c>
      <c r="C128">
        <v>0</v>
      </c>
      <c r="D128">
        <f t="shared" si="4"/>
        <v>100.03000000000003</v>
      </c>
      <c r="E128">
        <f t="shared" si="5"/>
        <v>49.841584744034265</v>
      </c>
    </row>
    <row r="129" spans="1:5" x14ac:dyDescent="0.2">
      <c r="A129">
        <f t="shared" si="6"/>
        <v>0.85899999999999999</v>
      </c>
      <c r="B129">
        <v>859</v>
      </c>
      <c r="C129">
        <v>0</v>
      </c>
      <c r="D129">
        <f t="shared" si="4"/>
        <v>100.03000000000003</v>
      </c>
      <c r="E129">
        <f t="shared" si="5"/>
        <v>49.841584744034265</v>
      </c>
    </row>
    <row r="130" spans="1:5" x14ac:dyDescent="0.2">
      <c r="A130">
        <f t="shared" si="6"/>
        <v>0.97599999999999998</v>
      </c>
      <c r="B130">
        <v>976</v>
      </c>
      <c r="C130">
        <v>0</v>
      </c>
      <c r="D130">
        <f t="shared" si="4"/>
        <v>100.03000000000003</v>
      </c>
      <c r="E130">
        <f t="shared" si="5"/>
        <v>49.841584744034265</v>
      </c>
    </row>
    <row r="131" spans="1:5" x14ac:dyDescent="0.2">
      <c r="A131">
        <f t="shared" si="6"/>
        <v>1.1100000000000001</v>
      </c>
      <c r="B131">
        <v>1110</v>
      </c>
      <c r="C131">
        <v>0</v>
      </c>
      <c r="D131">
        <f t="shared" si="4"/>
        <v>100.03000000000003</v>
      </c>
      <c r="E131">
        <f t="shared" si="5"/>
        <v>49.841584744034265</v>
      </c>
    </row>
    <row r="132" spans="1:5" x14ac:dyDescent="0.2">
      <c r="A132">
        <f t="shared" si="6"/>
        <v>1.26</v>
      </c>
      <c r="B132">
        <v>1260</v>
      </c>
      <c r="C132">
        <v>0</v>
      </c>
      <c r="D132">
        <f t="shared" si="4"/>
        <v>100.03000000000003</v>
      </c>
      <c r="E132">
        <f t="shared" si="5"/>
        <v>49.841584744034265</v>
      </c>
    </row>
    <row r="133" spans="1:5" x14ac:dyDescent="0.2">
      <c r="A133">
        <f t="shared" si="6"/>
        <v>1.43</v>
      </c>
      <c r="B133">
        <v>1430</v>
      </c>
      <c r="C133">
        <v>0</v>
      </c>
      <c r="D133">
        <f t="shared" si="4"/>
        <v>100.03000000000003</v>
      </c>
      <c r="E133">
        <f t="shared" si="5"/>
        <v>49.841584744034265</v>
      </c>
    </row>
    <row r="134" spans="1:5" x14ac:dyDescent="0.2">
      <c r="A134">
        <f t="shared" si="6"/>
        <v>1.63</v>
      </c>
      <c r="B134">
        <v>1630</v>
      </c>
      <c r="C134">
        <v>0</v>
      </c>
      <c r="D134">
        <f t="shared" si="4"/>
        <v>100.03000000000003</v>
      </c>
      <c r="E134">
        <f t="shared" si="5"/>
        <v>49.841584744034265</v>
      </c>
    </row>
    <row r="135" spans="1:5" x14ac:dyDescent="0.2">
      <c r="A135">
        <f t="shared" si="6"/>
        <v>1.85</v>
      </c>
      <c r="B135">
        <v>1850</v>
      </c>
      <c r="C135">
        <v>0</v>
      </c>
      <c r="D135">
        <f t="shared" si="4"/>
        <v>100.03000000000003</v>
      </c>
      <c r="E135">
        <f t="shared" si="5"/>
        <v>49.841584744034265</v>
      </c>
    </row>
    <row r="136" spans="1:5" x14ac:dyDescent="0.2">
      <c r="A136">
        <f t="shared" si="6"/>
        <v>2.1</v>
      </c>
      <c r="B136">
        <v>2100</v>
      </c>
      <c r="C136">
        <v>0</v>
      </c>
      <c r="D136">
        <f t="shared" si="4"/>
        <v>100.03000000000003</v>
      </c>
      <c r="E136">
        <f t="shared" si="5"/>
        <v>49.841584744034265</v>
      </c>
    </row>
    <row r="137" spans="1:5" x14ac:dyDescent="0.2">
      <c r="A137">
        <f t="shared" si="6"/>
        <v>2.39</v>
      </c>
      <c r="B137">
        <v>2390</v>
      </c>
      <c r="C137">
        <v>0</v>
      </c>
      <c r="D137">
        <f t="shared" si="4"/>
        <v>100.03000000000003</v>
      </c>
      <c r="E137">
        <f t="shared" si="5"/>
        <v>49.841584744034265</v>
      </c>
    </row>
  </sheetData>
  <pageMargins left="0.39370078740157483" right="0.39370078740157483" top="0.98425196850393704" bottom="0.98425196850393704" header="0.51181102362204722" footer="0.51181102362204722"/>
  <pageSetup paperSize="9" orientation="portrait" horizontalDpi="300" verticalDpi="300"/>
  <headerFooter alignWithMargins="0"/>
  <drawing r:id="rId1"/>
</worksheet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6</vt:i4>
      </vt:variant>
      <vt:variant>
        <vt:lpstr>Navngivne områder</vt:lpstr>
      </vt:variant>
      <vt:variant>
        <vt:i4>5</vt:i4>
      </vt:variant>
    </vt:vector>
  </HeadingPairs>
  <TitlesOfParts>
    <vt:vector size="11" baseType="lpstr">
      <vt:lpstr>English</vt:lpstr>
      <vt:lpstr>Danish</vt:lpstr>
      <vt:lpstr>101</vt:lpstr>
      <vt:lpstr>33</vt:lpstr>
      <vt:lpstr>54</vt:lpstr>
      <vt:lpstr>100</vt:lpstr>
      <vt:lpstr>'100'!Udskriftsområde</vt:lpstr>
      <vt:lpstr>'101'!Udskriftsområde</vt:lpstr>
      <vt:lpstr>'33'!Udskriftsområde</vt:lpstr>
      <vt:lpstr>'54'!Udskriftsområde</vt:lpstr>
      <vt:lpstr>English!Udskriftsområde</vt:lpstr>
    </vt:vector>
  </TitlesOfParts>
  <Manager/>
  <Company>Geologi &amp; Geoteknik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Bente Frydenlund</dc:creator>
  <cp:keywords/>
  <dc:description/>
  <cp:lastModifiedBy>Nielsen, Anna Krog</cp:lastModifiedBy>
  <cp:revision/>
  <dcterms:created xsi:type="dcterms:W3CDTF">2000-06-21T13:31:57Z</dcterms:created>
  <dcterms:modified xsi:type="dcterms:W3CDTF">2026-01-21T14:35:50Z</dcterms:modified>
  <cp:category/>
  <cp:contentStatus/>
</cp:coreProperties>
</file>