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test_data/Data_Anna/"/>
    </mc:Choice>
  </mc:AlternateContent>
  <xr:revisionPtr revIDLastSave="330" documentId="8_{7F3E39F6-76CF-417F-8662-E789E62C2A4C}" xr6:coauthVersionLast="47" xr6:coauthVersionMax="47" xr10:uidLastSave="{AFD6098D-DEA2-4253-8649-508766116777}"/>
  <bookViews>
    <workbookView xWindow="28680" yWindow="-30" windowWidth="29040" windowHeight="17520" activeTab="2" xr2:uid="{DBB09911-16D6-4697-9313-AEBD2BE1D35E}"/>
  </bookViews>
  <sheets>
    <sheet name="English" sheetId="1" r:id="rId1"/>
    <sheet name="Danish" sheetId="4" r:id="rId2"/>
    <sheet name="32" sheetId="5" r:id="rId3"/>
    <sheet name="43" sheetId="6" r:id="rId4"/>
    <sheet name="51" sheetId="8" r:id="rId5"/>
    <sheet name="53" sheetId="9" r:id="rId6"/>
  </sheets>
  <definedNames>
    <definedName name="_xlnm.Print_Area" localSheetId="2">'32'!$A$1:$H$53</definedName>
    <definedName name="_xlnm.Print_Area" localSheetId="3">'43'!$A$1:$H$53</definedName>
    <definedName name="_xlnm.Print_Area" localSheetId="4">'51'!$A$1:$H$53</definedName>
    <definedName name="_xlnm.Print_Area" localSheetId="5">'53'!$A$1:$H$53</definedName>
    <definedName name="_xlnm.Print_Area" localSheetId="0">English!$A$1:$H$53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5" l="1"/>
  <c r="G80" i="5"/>
  <c r="G79" i="5"/>
  <c r="G78" i="5"/>
  <c r="G77" i="5"/>
  <c r="G76" i="5"/>
  <c r="G75" i="5"/>
  <c r="G74" i="5"/>
  <c r="E76" i="5"/>
  <c r="J17" i="9"/>
  <c r="J15" i="9"/>
  <c r="J14" i="9"/>
  <c r="J16" i="9" s="1"/>
  <c r="J18" i="9" s="1"/>
  <c r="J17" i="8"/>
  <c r="J15" i="8"/>
  <c r="J14" i="8"/>
  <c r="J16" i="8" s="1"/>
  <c r="J18" i="8" s="1"/>
  <c r="J17" i="6"/>
  <c r="J15" i="6"/>
  <c r="J14" i="6"/>
  <c r="J16" i="6" s="1"/>
  <c r="J18" i="6" s="1"/>
  <c r="E80" i="5"/>
  <c r="E77" i="5"/>
  <c r="E78" i="5"/>
  <c r="E79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D21" i="5"/>
  <c r="J16" i="5"/>
  <c r="J15" i="5"/>
  <c r="J14" i="5"/>
  <c r="D21" i="9" l="1"/>
  <c r="D76" i="5" l="1"/>
  <c r="D77" i="5" s="1"/>
  <c r="D78" i="5" s="1"/>
  <c r="D76" i="8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74" i="8"/>
  <c r="D75" i="8" s="1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57" i="8"/>
  <c r="D75" i="9"/>
  <c r="D76" i="9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73" i="9"/>
  <c r="D74" i="9" s="1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56" i="9"/>
  <c r="E78" i="6"/>
  <c r="E79" i="6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77" i="6"/>
  <c r="E76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57" i="6"/>
  <c r="A108" i="5" l="1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56" i="5"/>
  <c r="E51" i="9" l="1"/>
  <c r="E50" i="9"/>
  <c r="D20" i="9"/>
  <c r="D19" i="9"/>
  <c r="D18" i="9"/>
  <c r="D17" i="9"/>
  <c r="D16" i="9"/>
  <c r="D15" i="9"/>
  <c r="D14" i="9"/>
  <c r="D13" i="9"/>
  <c r="D12" i="9"/>
  <c r="D11" i="9"/>
  <c r="D10" i="9"/>
  <c r="C5" i="9"/>
  <c r="E51" i="8"/>
  <c r="E50" i="8"/>
  <c r="D20" i="8"/>
  <c r="D19" i="8"/>
  <c r="D18" i="8"/>
  <c r="D17" i="8"/>
  <c r="D16" i="8"/>
  <c r="D15" i="8"/>
  <c r="D14" i="8"/>
  <c r="D13" i="8"/>
  <c r="D12" i="8"/>
  <c r="D11" i="8"/>
  <c r="D10" i="8"/>
  <c r="C5" i="8"/>
  <c r="E51" i="6"/>
  <c r="E50" i="6"/>
  <c r="D20" i="6"/>
  <c r="D19" i="6"/>
  <c r="D18" i="6"/>
  <c r="D17" i="6"/>
  <c r="D16" i="6"/>
  <c r="D15" i="6"/>
  <c r="D21" i="6"/>
  <c r="D14" i="6"/>
  <c r="D13" i="6"/>
  <c r="D12" i="6"/>
  <c r="D11" i="6"/>
  <c r="D10" i="6"/>
  <c r="C5" i="6"/>
  <c r="C5" i="5"/>
  <c r="E51" i="5"/>
  <c r="E50" i="5"/>
  <c r="D20" i="5"/>
  <c r="D19" i="5"/>
  <c r="D18" i="5"/>
  <c r="J17" i="5"/>
  <c r="D17" i="5"/>
  <c r="D16" i="5"/>
  <c r="D15" i="5"/>
  <c r="D14" i="5"/>
  <c r="D13" i="5"/>
  <c r="D12" i="5"/>
  <c r="D11" i="5"/>
  <c r="D10" i="5"/>
  <c r="L17" i="1"/>
  <c r="L14" i="1"/>
  <c r="L16" i="1"/>
  <c r="L18" i="1"/>
  <c r="E51" i="4"/>
  <c r="E50" i="4"/>
  <c r="D10" i="4"/>
  <c r="D11" i="4"/>
  <c r="D22" i="4"/>
  <c r="D12" i="4"/>
  <c r="D13" i="4"/>
  <c r="D14" i="4"/>
  <c r="D15" i="4"/>
  <c r="D16" i="4"/>
  <c r="D17" i="4"/>
  <c r="D18" i="4"/>
  <c r="D19" i="4"/>
  <c r="D20" i="4"/>
  <c r="D21" i="4"/>
  <c r="D21" i="1"/>
  <c r="D20" i="1"/>
  <c r="D19" i="1"/>
  <c r="D18" i="1"/>
  <c r="D17" i="1"/>
  <c r="D16" i="1"/>
  <c r="D15" i="1"/>
  <c r="D14" i="1"/>
  <c r="D13" i="1"/>
  <c r="D12" i="1"/>
  <c r="D11" i="1"/>
  <c r="D22" i="1"/>
  <c r="D10" i="1"/>
  <c r="E50" i="1"/>
  <c r="E51" i="1"/>
  <c r="E18" i="4"/>
  <c r="E10" i="4"/>
  <c r="E14" i="4"/>
  <c r="E22" i="4"/>
  <c r="B6" i="4"/>
  <c r="E19" i="4"/>
  <c r="E9" i="4"/>
  <c r="E21" i="4"/>
  <c r="G21" i="4"/>
  <c r="G20" i="4"/>
  <c r="G19" i="4"/>
  <c r="G18" i="4"/>
  <c r="G17" i="4"/>
  <c r="G16" i="4"/>
  <c r="G15" i="4"/>
  <c r="G14" i="4"/>
  <c r="G13" i="4"/>
  <c r="G12" i="4"/>
  <c r="G11" i="4"/>
  <c r="G10" i="4"/>
  <c r="E17" i="4"/>
  <c r="E13" i="4"/>
  <c r="E19" i="1"/>
  <c r="E16" i="4"/>
  <c r="E20" i="1"/>
  <c r="E15" i="4"/>
  <c r="E13" i="1"/>
  <c r="E14" i="1"/>
  <c r="E9" i="1"/>
  <c r="B6" i="1"/>
  <c r="E16" i="1"/>
  <c r="E18" i="1"/>
  <c r="E21" i="1"/>
  <c r="G21" i="1"/>
  <c r="G20" i="1"/>
  <c r="G19" i="1"/>
  <c r="G18" i="1"/>
  <c r="E10" i="1"/>
  <c r="E22" i="1"/>
  <c r="E17" i="1"/>
  <c r="E12" i="1"/>
  <c r="E15" i="1"/>
  <c r="E20" i="4"/>
  <c r="E12" i="4"/>
  <c r="E11" i="1"/>
  <c r="E11" i="4"/>
  <c r="G17" i="1"/>
  <c r="G16" i="1"/>
  <c r="G15" i="1"/>
  <c r="G14" i="1"/>
  <c r="G13" i="1"/>
  <c r="G12" i="1"/>
  <c r="G11" i="1"/>
  <c r="G10" i="1"/>
  <c r="D21" i="8" l="1"/>
  <c r="D22" i="8" s="1"/>
  <c r="E12" i="8" s="1"/>
  <c r="D22" i="5"/>
  <c r="D79" i="5"/>
  <c r="J18" i="5"/>
  <c r="D22" i="9"/>
  <c r="E10" i="9" s="1"/>
  <c r="D22" i="6"/>
  <c r="E13" i="6" s="1"/>
  <c r="E11" i="8" l="1"/>
  <c r="E19" i="8"/>
  <c r="E18" i="8"/>
  <c r="E10" i="8"/>
  <c r="E17" i="8"/>
  <c r="E21" i="8"/>
  <c r="E16" i="8"/>
  <c r="E15" i="8"/>
  <c r="E14" i="8"/>
  <c r="E13" i="8"/>
  <c r="E20" i="8"/>
  <c r="E12" i="6"/>
  <c r="E20" i="6"/>
  <c r="E13" i="5"/>
  <c r="E21" i="5"/>
  <c r="G21" i="5" s="1"/>
  <c r="G20" i="5" s="1"/>
  <c r="E12" i="5"/>
  <c r="E22" i="5"/>
  <c r="E15" i="5"/>
  <c r="E10" i="5"/>
  <c r="E9" i="5"/>
  <c r="E16" i="5"/>
  <c r="B6" i="5"/>
  <c r="E19" i="5"/>
  <c r="E18" i="5"/>
  <c r="E14" i="5"/>
  <c r="E20" i="5"/>
  <c r="E17" i="5"/>
  <c r="E11" i="5"/>
  <c r="E16" i="9"/>
  <c r="E15" i="9"/>
  <c r="E14" i="9"/>
  <c r="E21" i="9"/>
  <c r="E11" i="9"/>
  <c r="E17" i="9"/>
  <c r="E13" i="9"/>
  <c r="E20" i="9"/>
  <c r="E12" i="9"/>
  <c r="E19" i="9"/>
  <c r="E18" i="9"/>
  <c r="E16" i="6"/>
  <c r="E15" i="6"/>
  <c r="E14" i="6"/>
  <c r="E19" i="6"/>
  <c r="E11" i="6"/>
  <c r="E18" i="6"/>
  <c r="E10" i="6"/>
  <c r="E17" i="6"/>
  <c r="E21" i="6"/>
  <c r="D80" i="5"/>
  <c r="E22" i="9"/>
  <c r="E9" i="9"/>
  <c r="B6" i="9"/>
  <c r="E22" i="8"/>
  <c r="E9" i="8"/>
  <c r="B6" i="8"/>
  <c r="E22" i="6"/>
  <c r="E9" i="6"/>
  <c r="B6" i="6"/>
  <c r="E78" i="9" l="1"/>
  <c r="E86" i="9"/>
  <c r="E94" i="9"/>
  <c r="E102" i="9"/>
  <c r="E110" i="9"/>
  <c r="E118" i="9"/>
  <c r="E126" i="9"/>
  <c r="E134" i="9"/>
  <c r="E93" i="9"/>
  <c r="E79" i="9"/>
  <c r="E87" i="9"/>
  <c r="E95" i="9"/>
  <c r="E103" i="9"/>
  <c r="E111" i="9"/>
  <c r="E119" i="9"/>
  <c r="E127" i="9"/>
  <c r="E135" i="9"/>
  <c r="E77" i="9"/>
  <c r="E133" i="9"/>
  <c r="E80" i="9"/>
  <c r="E88" i="9"/>
  <c r="E96" i="9"/>
  <c r="E104" i="9"/>
  <c r="E112" i="9"/>
  <c r="E120" i="9"/>
  <c r="E128" i="9"/>
  <c r="E85" i="9"/>
  <c r="E81" i="9"/>
  <c r="E89" i="9"/>
  <c r="E97" i="9"/>
  <c r="E105" i="9"/>
  <c r="E113" i="9"/>
  <c r="E121" i="9"/>
  <c r="E129" i="9"/>
  <c r="E101" i="9"/>
  <c r="E74" i="9"/>
  <c r="E82" i="9"/>
  <c r="E90" i="9"/>
  <c r="E98" i="9"/>
  <c r="E106" i="9"/>
  <c r="E114" i="9"/>
  <c r="E122" i="9"/>
  <c r="E130" i="9"/>
  <c r="E109" i="9"/>
  <c r="E75" i="9"/>
  <c r="E83" i="9"/>
  <c r="E91" i="9"/>
  <c r="E99" i="9"/>
  <c r="E107" i="9"/>
  <c r="E115" i="9"/>
  <c r="E123" i="9"/>
  <c r="E131" i="9"/>
  <c r="E125" i="9"/>
  <c r="E76" i="9"/>
  <c r="E84" i="9"/>
  <c r="E92" i="9"/>
  <c r="E100" i="9"/>
  <c r="E108" i="9"/>
  <c r="E116" i="9"/>
  <c r="E124" i="9"/>
  <c r="E132" i="9"/>
  <c r="E117" i="9"/>
  <c r="G21" i="8"/>
  <c r="G20" i="8" s="1"/>
  <c r="G19" i="8" s="1"/>
  <c r="G18" i="8" s="1"/>
  <c r="G17" i="8" s="1"/>
  <c r="G16" i="8" s="1"/>
  <c r="G15" i="8" s="1"/>
  <c r="G14" i="8" s="1"/>
  <c r="G13" i="8" s="1"/>
  <c r="G12" i="8" s="1"/>
  <c r="G11" i="8" s="1"/>
  <c r="G10" i="8" s="1"/>
  <c r="E82" i="8"/>
  <c r="E90" i="8"/>
  <c r="E98" i="8"/>
  <c r="E106" i="8"/>
  <c r="E114" i="8"/>
  <c r="E122" i="8"/>
  <c r="E130" i="8"/>
  <c r="E83" i="8"/>
  <c r="E91" i="8"/>
  <c r="E99" i="8"/>
  <c r="E107" i="8"/>
  <c r="E115" i="8"/>
  <c r="E123" i="8"/>
  <c r="E131" i="8"/>
  <c r="E136" i="8"/>
  <c r="E76" i="8"/>
  <c r="E84" i="8"/>
  <c r="E92" i="8"/>
  <c r="E100" i="8"/>
  <c r="E108" i="8"/>
  <c r="E116" i="8"/>
  <c r="E124" i="8"/>
  <c r="E132" i="8"/>
  <c r="E77" i="8"/>
  <c r="E85" i="8"/>
  <c r="E93" i="8"/>
  <c r="E101" i="8"/>
  <c r="E109" i="8"/>
  <c r="E117" i="8"/>
  <c r="E125" i="8"/>
  <c r="E133" i="8"/>
  <c r="E78" i="8"/>
  <c r="E86" i="8"/>
  <c r="E94" i="8"/>
  <c r="E102" i="8"/>
  <c r="E110" i="8"/>
  <c r="E118" i="8"/>
  <c r="E126" i="8"/>
  <c r="E134" i="8"/>
  <c r="E79" i="8"/>
  <c r="E87" i="8"/>
  <c r="E95" i="8"/>
  <c r="E103" i="8"/>
  <c r="E111" i="8"/>
  <c r="E119" i="8"/>
  <c r="E127" i="8"/>
  <c r="E135" i="8"/>
  <c r="E120" i="8"/>
  <c r="E80" i="8"/>
  <c r="E88" i="8"/>
  <c r="E96" i="8"/>
  <c r="E104" i="8"/>
  <c r="E112" i="8"/>
  <c r="E128" i="8"/>
  <c r="E81" i="8"/>
  <c r="E89" i="8"/>
  <c r="E97" i="8"/>
  <c r="E105" i="8"/>
  <c r="E113" i="8"/>
  <c r="E121" i="8"/>
  <c r="E129" i="8"/>
  <c r="E74" i="8"/>
  <c r="E75" i="8"/>
  <c r="G21" i="6"/>
  <c r="G20" i="6" s="1"/>
  <c r="G19" i="6" s="1"/>
  <c r="G18" i="6" s="1"/>
  <c r="G17" i="6" s="1"/>
  <c r="G16" i="6" s="1"/>
  <c r="G15" i="6" s="1"/>
  <c r="G14" i="6" s="1"/>
  <c r="G13" i="6" s="1"/>
  <c r="G12" i="6" s="1"/>
  <c r="G11" i="6" s="1"/>
  <c r="G10" i="6" s="1"/>
  <c r="A56" i="6"/>
  <c r="G19" i="5"/>
  <c r="G18" i="5" s="1"/>
  <c r="G17" i="5" s="1"/>
  <c r="G16" i="5" s="1"/>
  <c r="G21" i="9"/>
  <c r="G20" i="9" s="1"/>
  <c r="G19" i="9" s="1"/>
  <c r="G18" i="9" s="1"/>
  <c r="G17" i="9" s="1"/>
  <c r="G16" i="9" s="1"/>
  <c r="G15" i="9" s="1"/>
  <c r="G14" i="9" s="1"/>
  <c r="G13" i="9" s="1"/>
  <c r="G12" i="9" s="1"/>
  <c r="G11" i="9" s="1"/>
  <c r="G10" i="9" s="1"/>
  <c r="E73" i="9"/>
  <c r="D81" i="5"/>
  <c r="F76" i="6" l="1"/>
  <c r="F82" i="6"/>
  <c r="F90" i="6"/>
  <c r="F98" i="6"/>
  <c r="F106" i="6"/>
  <c r="F114" i="6"/>
  <c r="F122" i="6"/>
  <c r="F130" i="6"/>
  <c r="F94" i="6"/>
  <c r="F118" i="6"/>
  <c r="F121" i="6"/>
  <c r="F83" i="6"/>
  <c r="F91" i="6"/>
  <c r="F99" i="6"/>
  <c r="F107" i="6"/>
  <c r="F115" i="6"/>
  <c r="F123" i="6"/>
  <c r="F131" i="6"/>
  <c r="F86" i="6"/>
  <c r="F102" i="6"/>
  <c r="F126" i="6"/>
  <c r="F129" i="6"/>
  <c r="F84" i="6"/>
  <c r="F92" i="6"/>
  <c r="F100" i="6"/>
  <c r="F108" i="6"/>
  <c r="F116" i="6"/>
  <c r="F124" i="6"/>
  <c r="F132" i="6"/>
  <c r="F78" i="6"/>
  <c r="F77" i="6"/>
  <c r="F85" i="6"/>
  <c r="F93" i="6"/>
  <c r="F101" i="6"/>
  <c r="F109" i="6"/>
  <c r="F117" i="6"/>
  <c r="F125" i="6"/>
  <c r="F133" i="6"/>
  <c r="F110" i="6"/>
  <c r="F79" i="6"/>
  <c r="F87" i="6"/>
  <c r="F95" i="6"/>
  <c r="F103" i="6"/>
  <c r="F111" i="6"/>
  <c r="F119" i="6"/>
  <c r="F127" i="6"/>
  <c r="F81" i="6"/>
  <c r="F89" i="6"/>
  <c r="F97" i="6"/>
  <c r="F105" i="6"/>
  <c r="F113" i="6"/>
  <c r="F80" i="6"/>
  <c r="F88" i="6"/>
  <c r="F96" i="6"/>
  <c r="F104" i="6"/>
  <c r="F112" i="6"/>
  <c r="F120" i="6"/>
  <c r="F128" i="6"/>
  <c r="G15" i="5"/>
  <c r="G14" i="5" s="1"/>
  <c r="D82" i="5"/>
  <c r="G13" i="5" l="1"/>
  <c r="D83" i="5"/>
  <c r="G12" i="5" l="1"/>
  <c r="D84" i="5"/>
  <c r="G11" i="5" l="1"/>
  <c r="G10" i="5" s="1"/>
  <c r="D85" i="5"/>
  <c r="D86" i="5" l="1"/>
  <c r="D87" i="5" l="1"/>
  <c r="D88" i="5" l="1"/>
  <c r="D89" i="5" l="1"/>
  <c r="D90" i="5" l="1"/>
  <c r="D91" i="5" l="1"/>
  <c r="D92" i="5" l="1"/>
  <c r="D93" i="5" l="1"/>
  <c r="D94" i="5" l="1"/>
  <c r="D95" i="5" l="1"/>
  <c r="D96" i="5" l="1"/>
  <c r="D97" i="5" l="1"/>
  <c r="D98" i="5" l="1"/>
  <c r="D99" i="5" l="1"/>
  <c r="D100" i="5" l="1"/>
  <c r="D101" i="5" l="1"/>
  <c r="D102" i="5" l="1"/>
  <c r="D103" i="5" l="1"/>
  <c r="D104" i="5" l="1"/>
  <c r="D105" i="5" l="1"/>
  <c r="D106" i="5" l="1"/>
  <c r="D107" i="5" l="1"/>
  <c r="D108" i="5" l="1"/>
  <c r="D109" i="5" l="1"/>
  <c r="D110" i="5" l="1"/>
  <c r="D111" i="5" l="1"/>
  <c r="D112" i="5" l="1"/>
  <c r="D113" i="5" l="1"/>
  <c r="D114" i="5" l="1"/>
  <c r="D115" i="5" l="1"/>
  <c r="D116" i="5" l="1"/>
  <c r="D117" i="5" l="1"/>
  <c r="D118" i="5" l="1"/>
  <c r="D119" i="5" l="1"/>
  <c r="D120" i="5" l="1"/>
  <c r="D121" i="5" l="1"/>
  <c r="D122" i="5" l="1"/>
  <c r="D123" i="5" l="1"/>
  <c r="D124" i="5" l="1"/>
  <c r="D125" i="5" l="1"/>
  <c r="D126" i="5" l="1"/>
  <c r="D127" i="5" l="1"/>
  <c r="D128" i="5" l="1"/>
  <c r="D129" i="5" l="1"/>
  <c r="D130" i="5" l="1"/>
  <c r="D131" i="5" l="1"/>
  <c r="D132" i="5" l="1"/>
  <c r="D133" i="5" l="1"/>
  <c r="D134" i="5" l="1"/>
  <c r="D135" i="5" l="1"/>
  <c r="F59" i="5"/>
  <c r="G59" i="5"/>
  <c r="F57" i="5"/>
  <c r="G57" i="5"/>
  <c r="G56" i="5"/>
  <c r="F56" i="5"/>
  <c r="F55" i="5"/>
  <c r="G55" i="5"/>
  <c r="F54" i="5"/>
  <c r="G54" i="5"/>
  <c r="F30" i="5"/>
  <c r="G30" i="5"/>
  <c r="F28" i="5"/>
  <c r="G28" i="5"/>
  <c r="G67" i="5"/>
  <c r="F67" i="5"/>
  <c r="G26" i="5"/>
  <c r="F26" i="5"/>
  <c r="F52" i="5"/>
  <c r="G52" i="5"/>
  <c r="F45" i="5"/>
  <c r="G45" i="5"/>
  <c r="G24" i="5"/>
  <c r="F24" i="5"/>
  <c r="F51" i="5"/>
  <c r="G51" i="5"/>
  <c r="F50" i="5"/>
  <c r="G50" i="5"/>
  <c r="G49" i="5"/>
  <c r="F49" i="5"/>
  <c r="F48" i="5"/>
  <c r="G48" i="5"/>
  <c r="G47" i="5"/>
  <c r="F47" i="5"/>
  <c r="G44" i="5"/>
  <c r="F44" i="5"/>
  <c r="F43" i="5"/>
  <c r="G43" i="5"/>
  <c r="F42" i="5"/>
  <c r="G42" i="5"/>
  <c r="G41" i="5"/>
  <c r="F41" i="5"/>
  <c r="G40" i="5"/>
  <c r="F40" i="5"/>
  <c r="G37" i="5"/>
  <c r="F37" i="5"/>
  <c r="F36" i="5"/>
  <c r="G36" i="5"/>
  <c r="F35" i="5"/>
  <c r="G35" i="5"/>
  <c r="F34" i="5"/>
  <c r="G34" i="5"/>
  <c r="G32" i="5"/>
  <c r="F32" i="5"/>
  <c r="G29" i="5"/>
  <c r="F29" i="5"/>
  <c r="F25" i="5"/>
  <c r="G25" i="5"/>
  <c r="G23" i="5"/>
  <c r="F23" i="5"/>
  <c r="F22" i="5"/>
  <c r="G22" i="5"/>
  <c r="G53" i="5"/>
  <c r="F53" i="5"/>
  <c r="F46" i="5"/>
  <c r="G46" i="5"/>
  <c r="F39" i="5"/>
  <c r="G39" i="5"/>
  <c r="G33" i="5"/>
  <c r="F33" i="5"/>
  <c r="G73" i="5"/>
  <c r="F73" i="5"/>
  <c r="G70" i="5"/>
  <c r="F70" i="5"/>
  <c r="G63" i="5"/>
  <c r="F63" i="5"/>
  <c r="F27" i="5"/>
  <c r="G27" i="5"/>
  <c r="F58" i="5"/>
  <c r="G58" i="5"/>
  <c r="F31" i="5"/>
  <c r="G31" i="5"/>
  <c r="F64" i="5"/>
  <c r="G64" i="5"/>
  <c r="F72" i="5"/>
  <c r="G72" i="5"/>
  <c r="G71" i="5"/>
  <c r="F71" i="5"/>
  <c r="G69" i="5"/>
  <c r="F69" i="5"/>
  <c r="G68" i="5"/>
  <c r="F68" i="5"/>
  <c r="G65" i="5"/>
  <c r="F65" i="5"/>
  <c r="G62" i="5"/>
  <c r="F62" i="5"/>
  <c r="G61" i="5"/>
  <c r="F61" i="5"/>
  <c r="F60" i="5"/>
  <c r="G60" i="5"/>
  <c r="G38" i="5"/>
  <c r="F38" i="5"/>
  <c r="G66" i="5"/>
  <c r="F66" i="5"/>
</calcChain>
</file>

<file path=xl/sharedStrings.xml><?xml version="1.0" encoding="utf-8"?>
<sst xmlns="http://schemas.openxmlformats.org/spreadsheetml/2006/main" count="274" uniqueCount="72">
  <si>
    <t>Particle-size analysis</t>
  </si>
  <si>
    <t>Sample</t>
  </si>
  <si>
    <t>Sample no</t>
  </si>
  <si>
    <t>Date</t>
  </si>
  <si>
    <t>XX-XX-XXXX</t>
  </si>
  <si>
    <t>Sign</t>
  </si>
  <si>
    <t xml:space="preserve">Sample weight </t>
  </si>
  <si>
    <t>gram</t>
  </si>
  <si>
    <t>Lost % in sieving</t>
  </si>
  <si>
    <t>Mash size</t>
  </si>
  <si>
    <t>sieve+fraction</t>
  </si>
  <si>
    <t>sieve</t>
  </si>
  <si>
    <t>weight in</t>
  </si>
  <si>
    <t>mass</t>
  </si>
  <si>
    <t>Cumulative mass</t>
  </si>
  <si>
    <t>d mmm</t>
  </si>
  <si>
    <t>(g)</t>
  </si>
  <si>
    <t>sieve (g)</t>
  </si>
  <si>
    <t>procentages</t>
  </si>
  <si>
    <t>on curve</t>
  </si>
  <si>
    <t>Total soil</t>
  </si>
  <si>
    <t>&gt;63µm</t>
  </si>
  <si>
    <t>Alu  tray</t>
  </si>
  <si>
    <t>&lt;63µm after sieving</t>
  </si>
  <si>
    <t>Corrected &lt;63µm</t>
  </si>
  <si>
    <t>Pan</t>
  </si>
  <si>
    <t>&lt;63µm + Pan</t>
  </si>
  <si>
    <t>Sum</t>
  </si>
  <si>
    <t>Median grain size (at 50%)</t>
  </si>
  <si>
    <t>d 50</t>
  </si>
  <si>
    <t>Reading grain size diameter at 60 %</t>
  </si>
  <si>
    <t>d 60</t>
  </si>
  <si>
    <t>Reading grain size diameter at 10 %</t>
  </si>
  <si>
    <t>d 10</t>
  </si>
  <si>
    <t>Coefficient of skewness</t>
  </si>
  <si>
    <t>u=d 60% / d 10%</t>
  </si>
  <si>
    <t>Sorting degree</t>
  </si>
  <si>
    <t xml:space="preserve">So =SQRT(% d 75 /% d 25) </t>
  </si>
  <si>
    <t>Reading</t>
  </si>
  <si>
    <t>d 75</t>
  </si>
  <si>
    <t>d 25</t>
  </si>
  <si>
    <t>Kornstørrelses-sammensætning</t>
  </si>
  <si>
    <t>Prøve</t>
  </si>
  <si>
    <t>Prøve ID</t>
  </si>
  <si>
    <t>Prøve 1</t>
  </si>
  <si>
    <t xml:space="preserve">Dato </t>
  </si>
  <si>
    <t>12. april</t>
  </si>
  <si>
    <t>Prøve vægt</t>
  </si>
  <si>
    <t>Sigtetab %</t>
  </si>
  <si>
    <t>Maskevidde-</t>
  </si>
  <si>
    <t>Sigte + fraktion</t>
  </si>
  <si>
    <t>sigte tom</t>
  </si>
  <si>
    <t xml:space="preserve">vægt af </t>
  </si>
  <si>
    <t>vægt</t>
  </si>
  <si>
    <t>på kurve</t>
  </si>
  <si>
    <t xml:space="preserve">Kummulativ </t>
  </si>
  <si>
    <t>fraktion (g)</t>
  </si>
  <si>
    <t>procent</t>
  </si>
  <si>
    <t>vægt %t</t>
  </si>
  <si>
    <t>Bund</t>
  </si>
  <si>
    <t>Middel-kornstørrelse diameter ved 50 %</t>
  </si>
  <si>
    <t>Aflæs diameter ved 60 %</t>
  </si>
  <si>
    <t>Aflæs diameter ved 10 %</t>
  </si>
  <si>
    <t>Uensformighedstal</t>
  </si>
  <si>
    <t>Sorteringsgrad</t>
  </si>
  <si>
    <t xml:space="preserve">So =KVROD(% d 75 /% d 25) </t>
  </si>
  <si>
    <t xml:space="preserve">Aflæs </t>
  </si>
  <si>
    <t>12.01.26</t>
  </si>
  <si>
    <t>Total soil + tray</t>
  </si>
  <si>
    <t>Size (μm)</t>
  </si>
  <si>
    <t>% Volume In</t>
  </si>
  <si>
    <t>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</si>
</sst>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0" fillId="0" borderId="1" xfId="0" applyBorder="1"/>
    <xf numFmtId="0" fontId="6" fillId="0" borderId="2" xfId="0" applyFont="1" applyBorder="1"/>
    <xf numFmtId="0" fontId="7" fillId="0" borderId="2" xfId="0" applyFont="1" applyBorder="1"/>
    <xf numFmtId="0" fontId="0" fillId="0" borderId="3" xfId="0" applyBorder="1"/>
    <xf numFmtId="0" fontId="8" fillId="0" borderId="0" xfId="0" applyFont="1"/>
    <xf numFmtId="0" fontId="5" fillId="0" borderId="4" xfId="0" applyFont="1" applyBorder="1"/>
    <xf numFmtId="0" fontId="0" fillId="0" borderId="5" xfId="0" applyBorder="1"/>
    <xf numFmtId="0" fontId="1" fillId="0" borderId="0" xfId="0" applyFont="1"/>
    <xf numFmtId="0" fontId="1" fillId="0" borderId="5" xfId="0" applyFont="1" applyBorder="1"/>
    <xf numFmtId="0" fontId="0" fillId="0" borderId="6" xfId="0" applyBorder="1"/>
    <xf numFmtId="0" fontId="5" fillId="0" borderId="7" xfId="0" applyFont="1" applyBorder="1"/>
    <xf numFmtId="0" fontId="1" fillId="0" borderId="3" xfId="0" applyFont="1" applyBorder="1"/>
    <xf numFmtId="0" fontId="0" fillId="2" borderId="1" xfId="0" applyFill="1" applyBorder="1"/>
    <xf numFmtId="0" fontId="0" fillId="2" borderId="8" xfId="0" applyFill="1" applyBorder="1"/>
    <xf numFmtId="0" fontId="1" fillId="0" borderId="8" xfId="0" applyFont="1" applyBorder="1"/>
    <xf numFmtId="0" fontId="0" fillId="0" borderId="9" xfId="0" applyBorder="1"/>
    <xf numFmtId="165" fontId="0" fillId="0" borderId="0" xfId="0" applyNumberFormat="1"/>
    <xf numFmtId="2" fontId="0" fillId="0" borderId="3" xfId="0" applyNumberForma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0" fillId="0" borderId="0" xfId="0" applyFont="1"/>
    <xf numFmtId="0" fontId="9" fillId="0" borderId="2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0" borderId="5" xfId="0" applyFont="1" applyBorder="1"/>
    <xf numFmtId="2" fontId="10" fillId="2" borderId="8" xfId="0" applyNumberFormat="1" applyFont="1" applyFill="1" applyBorder="1"/>
    <xf numFmtId="0" fontId="5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6" xfId="0" applyFont="1" applyBorder="1"/>
    <xf numFmtId="2" fontId="2" fillId="0" borderId="1" xfId="0" applyNumberFormat="1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English!$F$12:$F$21</c:f>
              <c:numCache>
                <c:formatCode>0.000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English!$G$12:$G$21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7-4F0E-A8B4-29ED2378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217024"/>
        <c:axId val="1"/>
      </c:scatterChart>
      <c:valAx>
        <c:axId val="1114217024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55118110238"/>
              <c:y val="0.90710624542833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716535433065E-3"/>
              <c:y val="0.24316993674970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4217024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461621527213721E-2"/>
          <c:y val="5.1912706819679653E-2"/>
          <c:w val="0.73076991696393945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English!$F$12:$F$21</c:f>
              <c:numCache>
                <c:formatCode>0.000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English!$G$12:$G$21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D-4EE2-A505-98E8C7E4C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215104"/>
        <c:axId val="1"/>
      </c:scatterChart>
      <c:valAx>
        <c:axId val="1114215104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Kornstørrelse i mm
X</a:t>
                </a:r>
              </a:p>
            </c:rich>
          </c:tx>
          <c:layout>
            <c:manualLayout>
              <c:xMode val="edge"/>
              <c:yMode val="edge"/>
              <c:x val="0.34615434485359992"/>
              <c:y val="0.890712764223529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Kumulativ vægt %</a:t>
                </a:r>
              </a:p>
            </c:rich>
          </c:tx>
          <c:layout>
            <c:manualLayout>
              <c:xMode val="edge"/>
              <c:yMode val="edge"/>
              <c:x val="9.6154148396121134E-3"/>
              <c:y val="0.308744035475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4215104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'32'!$F$12:$F$21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'32'!$G$12:$G$21</c:f>
              <c:numCache>
                <c:formatCode>0.00</c:formatCode>
                <c:ptCount val="10"/>
                <c:pt idx="0">
                  <c:v>100</c:v>
                </c:pt>
                <c:pt idx="1">
                  <c:v>93.245660336766406</c:v>
                </c:pt>
                <c:pt idx="2">
                  <c:v>89.743410141015659</c:v>
                </c:pt>
                <c:pt idx="3">
                  <c:v>85.490677760461139</c:v>
                </c:pt>
                <c:pt idx="4">
                  <c:v>75.734409358012584</c:v>
                </c:pt>
                <c:pt idx="5">
                  <c:v>65.978140955564001</c:v>
                </c:pt>
                <c:pt idx="6">
                  <c:v>59.223801292330364</c:v>
                </c:pt>
                <c:pt idx="7">
                  <c:v>50.218015074685511</c:v>
                </c:pt>
                <c:pt idx="8">
                  <c:v>44.71447905279144</c:v>
                </c:pt>
                <c:pt idx="9">
                  <c:v>39.210943030897369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B-4CFD-A04D-50A36A77076E}"/>
            </c:ext>
          </c:extLst>
        </c:ser>
        <c:ser>
          <c:idx val="1"/>
          <c:order val="1"/>
          <c:tx>
            <c:v>laser</c:v>
          </c:tx>
          <c:marker>
            <c:symbol val="none"/>
          </c:marker>
          <c:xVal>
            <c:numRef>
              <c:f>'32'!$A$56:$A$107</c:f>
              <c:numCache>
                <c:formatCode>General</c:formatCode>
                <c:ptCount val="52"/>
                <c:pt idx="0">
                  <c:v>9.9500000000000006E-5</c:v>
                </c:pt>
                <c:pt idx="1">
                  <c:v>1.1300000000000001E-4</c:v>
                </c:pt>
                <c:pt idx="2">
                  <c:v>1.2799999999999999E-4</c:v>
                </c:pt>
                <c:pt idx="3">
                  <c:v>1.46E-4</c:v>
                </c:pt>
                <c:pt idx="4">
                  <c:v>1.66E-4</c:v>
                </c:pt>
                <c:pt idx="5">
                  <c:v>1.8799999999999999E-4</c:v>
                </c:pt>
                <c:pt idx="6">
                  <c:v>2.14E-4</c:v>
                </c:pt>
                <c:pt idx="7">
                  <c:v>2.43E-4</c:v>
                </c:pt>
                <c:pt idx="8">
                  <c:v>2.7600000000000004E-4</c:v>
                </c:pt>
                <c:pt idx="9">
                  <c:v>3.1399999999999999E-4</c:v>
                </c:pt>
                <c:pt idx="10">
                  <c:v>3.57E-4</c:v>
                </c:pt>
                <c:pt idx="11">
                  <c:v>4.0500000000000003E-4</c:v>
                </c:pt>
                <c:pt idx="12">
                  <c:v>4.6000000000000001E-4</c:v>
                </c:pt>
                <c:pt idx="13">
                  <c:v>5.2300000000000003E-4</c:v>
                </c:pt>
                <c:pt idx="14">
                  <c:v>5.9400000000000002E-4</c:v>
                </c:pt>
                <c:pt idx="15">
                  <c:v>6.7500000000000004E-4</c:v>
                </c:pt>
                <c:pt idx="16">
                  <c:v>7.67E-4</c:v>
                </c:pt>
                <c:pt idx="17">
                  <c:v>8.7199999999999995E-4</c:v>
                </c:pt>
                <c:pt idx="18">
                  <c:v>9.9099999999999991E-4</c:v>
                </c:pt>
                <c:pt idx="19">
                  <c:v>1.1299999999999999E-3</c:v>
                </c:pt>
                <c:pt idx="20">
                  <c:v>1.2800000000000001E-3</c:v>
                </c:pt>
                <c:pt idx="21">
                  <c:v>1.4499999999999999E-3</c:v>
                </c:pt>
                <c:pt idx="22">
                  <c:v>1.65E-3</c:v>
                </c:pt>
                <c:pt idx="23">
                  <c:v>1.8799999999999999E-3</c:v>
                </c:pt>
                <c:pt idx="24">
                  <c:v>2.1299999999999999E-3</c:v>
                </c:pt>
                <c:pt idx="25">
                  <c:v>2.4199999999999998E-3</c:v>
                </c:pt>
                <c:pt idx="26">
                  <c:v>2.7499999999999998E-3</c:v>
                </c:pt>
                <c:pt idx="27">
                  <c:v>3.1199999999999999E-3</c:v>
                </c:pt>
                <c:pt idx="28">
                  <c:v>3.5499999999999998E-3</c:v>
                </c:pt>
                <c:pt idx="29">
                  <c:v>4.0300000000000006E-3</c:v>
                </c:pt>
                <c:pt idx="30">
                  <c:v>4.5799999999999999E-3</c:v>
                </c:pt>
                <c:pt idx="31">
                  <c:v>5.2100000000000002E-3</c:v>
                </c:pt>
                <c:pt idx="32">
                  <c:v>5.9199999999999999E-3</c:v>
                </c:pt>
                <c:pt idx="33">
                  <c:v>6.7199999999999994E-3</c:v>
                </c:pt>
                <c:pt idx="34">
                  <c:v>7.6400000000000001E-3</c:v>
                </c:pt>
                <c:pt idx="35">
                  <c:v>8.6800000000000002E-3</c:v>
                </c:pt>
                <c:pt idx="36">
                  <c:v>9.859999999999999E-3</c:v>
                </c:pt>
                <c:pt idx="37">
                  <c:v>1.12E-2</c:v>
                </c:pt>
                <c:pt idx="38">
                  <c:v>1.2699999999999999E-2</c:v>
                </c:pt>
                <c:pt idx="39">
                  <c:v>1.4500000000000001E-2</c:v>
                </c:pt>
                <c:pt idx="40">
                  <c:v>1.6399999999999998E-2</c:v>
                </c:pt>
                <c:pt idx="41">
                  <c:v>1.8699999999999998E-2</c:v>
                </c:pt>
                <c:pt idx="42">
                  <c:v>2.12E-2</c:v>
                </c:pt>
                <c:pt idx="43">
                  <c:v>2.41E-2</c:v>
                </c:pt>
                <c:pt idx="44">
                  <c:v>2.7399999999999997E-2</c:v>
                </c:pt>
                <c:pt idx="45">
                  <c:v>3.1100000000000003E-2</c:v>
                </c:pt>
                <c:pt idx="46">
                  <c:v>3.5299999999999998E-2</c:v>
                </c:pt>
                <c:pt idx="47">
                  <c:v>4.0100000000000004E-2</c:v>
                </c:pt>
                <c:pt idx="48">
                  <c:v>4.5600000000000002E-2</c:v>
                </c:pt>
                <c:pt idx="49">
                  <c:v>5.1799999999999999E-2</c:v>
                </c:pt>
                <c:pt idx="50">
                  <c:v>5.8900000000000001E-2</c:v>
                </c:pt>
                <c:pt idx="51">
                  <c:v>6.6900000000000001E-2</c:v>
                </c:pt>
              </c:numCache>
            </c:numRef>
          </c:xVal>
          <c:yVal>
            <c:numRef>
              <c:f>'32'!$E$56:$E$107</c:f>
              <c:numCache>
                <c:formatCode>General</c:formatCode>
                <c:ptCount val="52"/>
                <c:pt idx="20" formatCode="0.00">
                  <c:v>5.0974225940166581E-2</c:v>
                </c:pt>
                <c:pt idx="21" formatCode="0.00">
                  <c:v>0.16860705503285867</c:v>
                </c:pt>
                <c:pt idx="22" formatCode="0.00">
                  <c:v>0.36074067588425579</c:v>
                </c:pt>
                <c:pt idx="23" formatCode="0.00">
                  <c:v>0.62345399419126812</c:v>
                </c:pt>
                <c:pt idx="24" formatCode="0.00">
                  <c:v>0.94890482134771625</c:v>
                </c:pt>
                <c:pt idx="25" formatCode="0.00">
                  <c:v>1.3370931573536005</c:v>
                </c:pt>
                <c:pt idx="26" formatCode="0.00">
                  <c:v>1.7958611908150997</c:v>
                </c:pt>
                <c:pt idx="27" formatCode="0.00">
                  <c:v>2.3448143932476628</c:v>
                </c:pt>
                <c:pt idx="28" formatCode="0.00">
                  <c:v>3.0114004247729178</c:v>
                </c:pt>
                <c:pt idx="29" formatCode="0.00">
                  <c:v>3.8152247569063142</c:v>
                </c:pt>
                <c:pt idx="30" formatCode="0.00">
                  <c:v>4.7680506725571199</c:v>
                </c:pt>
                <c:pt idx="31" formatCode="0.00">
                  <c:v>5.8894836432407853</c:v>
                </c:pt>
                <c:pt idx="32" formatCode="0.00">
                  <c:v>7.1873658575634876</c:v>
                </c:pt>
                <c:pt idx="33" formatCode="0.00">
                  <c:v>8.6773816927375869</c:v>
                </c:pt>
                <c:pt idx="34" formatCode="0.00">
                  <c:v>10.371294431672354</c:v>
                </c:pt>
                <c:pt idx="35" formatCode="0.00">
                  <c:v>12.269104074367785</c:v>
                </c:pt>
                <c:pt idx="36" formatCode="0.00">
                  <c:v>14.359047337914614</c:v>
                </c:pt>
                <c:pt idx="37" formatCode="0.00">
                  <c:v>16.625439845100484</c:v>
                </c:pt>
                <c:pt idx="38" formatCode="0.00">
                  <c:v>19.029070652894493</c:v>
                </c:pt>
                <c:pt idx="39" formatCode="0.00">
                  <c:v>21.522886629659567</c:v>
                </c:pt>
                <c:pt idx="40" formatCode="0.00">
                  <c:v>24.044150266546268</c:v>
                </c:pt>
                <c:pt idx="41" formatCode="0.00">
                  <c:v>26.522281866098979</c:v>
                </c:pt>
                <c:pt idx="42" formatCode="0.00">
                  <c:v>28.878859542255913</c:v>
                </c:pt>
                <c:pt idx="43" formatCode="0.00">
                  <c:v>31.043303597561447</c:v>
                </c:pt>
                <c:pt idx="44" formatCode="0.00">
                  <c:v>32.956797617469235</c:v>
                </c:pt>
                <c:pt idx="45" formatCode="0.00">
                  <c:v>34.58405175325148</c:v>
                </c:pt>
                <c:pt idx="46" formatCode="0.00">
                  <c:v>35.913302721998903</c:v>
                </c:pt>
                <c:pt idx="47" formatCode="0.00">
                  <c:v>36.952392712317682</c:v>
                </c:pt>
                <c:pt idx="48" formatCode="0.00">
                  <c:v>37.732690478632541</c:v>
                </c:pt>
                <c:pt idx="49" formatCode="0.00">
                  <c:v>38.289485869671282</c:v>
                </c:pt>
                <c:pt idx="50" formatCode="0.00">
                  <c:v>38.669832017070988</c:v>
                </c:pt>
                <c:pt idx="51" formatCode="0.00">
                  <c:v>38.916860958165643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6-4196-8E90-3E0827081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  <c:min val="1.0000000000000002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'43'!$F$12:$F$21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'43'!$G$12:$G$21</c:f>
              <c:numCache>
                <c:formatCode>0.00</c:formatCode>
                <c:ptCount val="10"/>
                <c:pt idx="0">
                  <c:v>99.999999999999986</c:v>
                </c:pt>
                <c:pt idx="1">
                  <c:v>96.221578927084323</c:v>
                </c:pt>
                <c:pt idx="2">
                  <c:v>94.332368390626471</c:v>
                </c:pt>
                <c:pt idx="3">
                  <c:v>90.553947317710779</c:v>
                </c:pt>
                <c:pt idx="4">
                  <c:v>81.96662669744785</c:v>
                </c:pt>
                <c:pt idx="5">
                  <c:v>73.035813252374396</c:v>
                </c:pt>
                <c:pt idx="6">
                  <c:v>65.478971106543014</c:v>
                </c:pt>
                <c:pt idx="7">
                  <c:v>55.345932774632772</c:v>
                </c:pt>
                <c:pt idx="8">
                  <c:v>48.304329866017177</c:v>
                </c:pt>
                <c:pt idx="9">
                  <c:v>42.29320543183313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7-43FC-84D3-21B18E38723D}"/>
            </c:ext>
          </c:extLst>
        </c:ser>
        <c:ser>
          <c:idx val="1"/>
          <c:order val="1"/>
          <c:tx>
            <c:strRef>
              <c:f>'43'!$C$56</c:f>
              <c:strCache>
                <c:ptCount val="1"/>
                <c:pt idx="0">
                  <c:v>Size (μm)</c:v>
                </c:pt>
              </c:strCache>
            </c:strRef>
          </c:tx>
          <c:marker>
            <c:symbol val="none"/>
          </c:marker>
          <c:xVal>
            <c:numRef>
              <c:f>'43'!$B$57:$B$133</c:f>
              <c:numCache>
                <c:formatCode>General</c:formatCode>
                <c:ptCount val="77"/>
                <c:pt idx="0">
                  <c:v>9.9500000000000006E-5</c:v>
                </c:pt>
                <c:pt idx="1">
                  <c:v>1.1300000000000001E-4</c:v>
                </c:pt>
                <c:pt idx="2">
                  <c:v>1.2799999999999999E-4</c:v>
                </c:pt>
                <c:pt idx="3">
                  <c:v>1.46E-4</c:v>
                </c:pt>
                <c:pt idx="4">
                  <c:v>1.66E-4</c:v>
                </c:pt>
                <c:pt idx="5">
                  <c:v>1.8799999999999999E-4</c:v>
                </c:pt>
                <c:pt idx="6">
                  <c:v>2.14E-4</c:v>
                </c:pt>
                <c:pt idx="7">
                  <c:v>2.43E-4</c:v>
                </c:pt>
                <c:pt idx="8">
                  <c:v>2.7600000000000004E-4</c:v>
                </c:pt>
                <c:pt idx="9">
                  <c:v>3.1399999999999999E-4</c:v>
                </c:pt>
                <c:pt idx="10">
                  <c:v>3.57E-4</c:v>
                </c:pt>
                <c:pt idx="11">
                  <c:v>4.0500000000000003E-4</c:v>
                </c:pt>
                <c:pt idx="12">
                  <c:v>4.6000000000000001E-4</c:v>
                </c:pt>
                <c:pt idx="13">
                  <c:v>5.2300000000000003E-4</c:v>
                </c:pt>
                <c:pt idx="14">
                  <c:v>5.9400000000000002E-4</c:v>
                </c:pt>
                <c:pt idx="15">
                  <c:v>6.7500000000000004E-4</c:v>
                </c:pt>
                <c:pt idx="16">
                  <c:v>7.67E-4</c:v>
                </c:pt>
                <c:pt idx="17">
                  <c:v>8.7199999999999995E-4</c:v>
                </c:pt>
                <c:pt idx="18">
                  <c:v>9.9099999999999991E-4</c:v>
                </c:pt>
                <c:pt idx="19">
                  <c:v>1.1299999999999999E-3</c:v>
                </c:pt>
                <c:pt idx="20">
                  <c:v>1.2800000000000001E-3</c:v>
                </c:pt>
                <c:pt idx="21">
                  <c:v>1.4499999999999999E-3</c:v>
                </c:pt>
                <c:pt idx="22">
                  <c:v>1.65E-3</c:v>
                </c:pt>
                <c:pt idx="23">
                  <c:v>1.8799999999999999E-3</c:v>
                </c:pt>
                <c:pt idx="24">
                  <c:v>2.1299999999999999E-3</c:v>
                </c:pt>
                <c:pt idx="25">
                  <c:v>2.4199999999999998E-3</c:v>
                </c:pt>
                <c:pt idx="26">
                  <c:v>2.7499999999999998E-3</c:v>
                </c:pt>
                <c:pt idx="27">
                  <c:v>3.1199999999999999E-3</c:v>
                </c:pt>
                <c:pt idx="28">
                  <c:v>3.5499999999999998E-3</c:v>
                </c:pt>
                <c:pt idx="29">
                  <c:v>4.0300000000000006E-3</c:v>
                </c:pt>
                <c:pt idx="30">
                  <c:v>4.5799999999999999E-3</c:v>
                </c:pt>
                <c:pt idx="31">
                  <c:v>5.2100000000000002E-3</c:v>
                </c:pt>
                <c:pt idx="32">
                  <c:v>5.9199999999999999E-3</c:v>
                </c:pt>
                <c:pt idx="33">
                  <c:v>6.7199999999999994E-3</c:v>
                </c:pt>
                <c:pt idx="34">
                  <c:v>7.6400000000000001E-3</c:v>
                </c:pt>
                <c:pt idx="35">
                  <c:v>8.6800000000000002E-3</c:v>
                </c:pt>
                <c:pt idx="36">
                  <c:v>9.859999999999999E-3</c:v>
                </c:pt>
                <c:pt idx="37">
                  <c:v>1.12E-2</c:v>
                </c:pt>
                <c:pt idx="38">
                  <c:v>1.2699999999999999E-2</c:v>
                </c:pt>
                <c:pt idx="39">
                  <c:v>1.4500000000000001E-2</c:v>
                </c:pt>
                <c:pt idx="40">
                  <c:v>1.6399999999999998E-2</c:v>
                </c:pt>
                <c:pt idx="41">
                  <c:v>1.8699999999999998E-2</c:v>
                </c:pt>
                <c:pt idx="42">
                  <c:v>2.12E-2</c:v>
                </c:pt>
                <c:pt idx="43">
                  <c:v>2.41E-2</c:v>
                </c:pt>
                <c:pt idx="44">
                  <c:v>2.7399999999999997E-2</c:v>
                </c:pt>
                <c:pt idx="45">
                  <c:v>3.1100000000000003E-2</c:v>
                </c:pt>
                <c:pt idx="46">
                  <c:v>3.5299999999999998E-2</c:v>
                </c:pt>
                <c:pt idx="47">
                  <c:v>4.0100000000000004E-2</c:v>
                </c:pt>
                <c:pt idx="48">
                  <c:v>4.5600000000000002E-2</c:v>
                </c:pt>
                <c:pt idx="49">
                  <c:v>5.1799999999999999E-2</c:v>
                </c:pt>
                <c:pt idx="50">
                  <c:v>5.8900000000000001E-2</c:v>
                </c:pt>
                <c:pt idx="51">
                  <c:v>6.6900000000000001E-2</c:v>
                </c:pt>
                <c:pt idx="52">
                  <c:v>7.5999999999999998E-2</c:v>
                </c:pt>
                <c:pt idx="53">
                  <c:v>8.6400000000000005E-2</c:v>
                </c:pt>
                <c:pt idx="54">
                  <c:v>9.8099999999999993E-2</c:v>
                </c:pt>
                <c:pt idx="55">
                  <c:v>0.111</c:v>
                </c:pt>
                <c:pt idx="56">
                  <c:v>0.127</c:v>
                </c:pt>
                <c:pt idx="57">
                  <c:v>0.14399999999999999</c:v>
                </c:pt>
                <c:pt idx="58">
                  <c:v>0.16300000000000001</c:v>
                </c:pt>
                <c:pt idx="59">
                  <c:v>0.186</c:v>
                </c:pt>
                <c:pt idx="60">
                  <c:v>0.21099999999999999</c:v>
                </c:pt>
                <c:pt idx="61">
                  <c:v>0.24</c:v>
                </c:pt>
                <c:pt idx="62">
                  <c:v>0.27200000000000002</c:v>
                </c:pt>
                <c:pt idx="63">
                  <c:v>0.31</c:v>
                </c:pt>
                <c:pt idx="64">
                  <c:v>0.35199999999999998</c:v>
                </c:pt>
                <c:pt idx="65">
                  <c:v>0.4</c:v>
                </c:pt>
                <c:pt idx="66">
                  <c:v>0.45400000000000001</c:v>
                </c:pt>
                <c:pt idx="67">
                  <c:v>0.51600000000000001</c:v>
                </c:pt>
                <c:pt idx="68">
                  <c:v>0.58599999999999997</c:v>
                </c:pt>
                <c:pt idx="69">
                  <c:v>0.66600000000000004</c:v>
                </c:pt>
                <c:pt idx="70">
                  <c:v>0.75600000000000001</c:v>
                </c:pt>
                <c:pt idx="71">
                  <c:v>0.85899999999999999</c:v>
                </c:pt>
                <c:pt idx="72">
                  <c:v>0.97599999999999998</c:v>
                </c:pt>
                <c:pt idx="73">
                  <c:v>1.1100000000000001</c:v>
                </c:pt>
                <c:pt idx="74">
                  <c:v>1.26</c:v>
                </c:pt>
                <c:pt idx="75">
                  <c:v>1.43</c:v>
                </c:pt>
                <c:pt idx="76">
                  <c:v>1.63</c:v>
                </c:pt>
              </c:numCache>
            </c:numRef>
          </c:xVal>
          <c:yVal>
            <c:numRef>
              <c:f>'43'!$F$57:$F$133</c:f>
              <c:numCache>
                <c:formatCode>General</c:formatCode>
                <c:ptCount val="77"/>
                <c:pt idx="19">
                  <c:v>0.1015036930363995</c:v>
                </c:pt>
                <c:pt idx="20">
                  <c:v>0.32988700236829843</c:v>
                </c:pt>
                <c:pt idx="21">
                  <c:v>0.71052585125479661</c:v>
                </c:pt>
                <c:pt idx="22">
                  <c:v>1.2561082013254441</c:v>
                </c:pt>
                <c:pt idx="23">
                  <c:v>1.9581754114938739</c:v>
                </c:pt>
                <c:pt idx="24">
                  <c:v>2.8040395201305364</c:v>
                </c:pt>
                <c:pt idx="25">
                  <c:v>3.7979298477786152</c:v>
                </c:pt>
                <c:pt idx="26">
                  <c:v>4.9483050355244771</c:v>
                </c:pt>
                <c:pt idx="27">
                  <c:v>6.28054100662722</c:v>
                </c:pt>
                <c:pt idx="28">
                  <c:v>7.815784363802762</c:v>
                </c:pt>
                <c:pt idx="29">
                  <c:v>9.5624937481374701</c:v>
                </c:pt>
                <c:pt idx="30">
                  <c:v>11.52912780071771</c:v>
                </c:pt>
                <c:pt idx="31">
                  <c:v>13.698769239370751</c:v>
                </c:pt>
                <c:pt idx="32">
                  <c:v>16.050271461380675</c:v>
                </c:pt>
                <c:pt idx="33">
                  <c:v>18.545570581858829</c:v>
                </c:pt>
                <c:pt idx="34">
                  <c:v>21.142373395373383</c:v>
                </c:pt>
                <c:pt idx="35">
                  <c:v>23.785698734862954</c:v>
                </c:pt>
                <c:pt idx="36">
                  <c:v>26.416336112722973</c:v>
                </c:pt>
                <c:pt idx="37">
                  <c:v>28.970845720805691</c:v>
                </c:pt>
                <c:pt idx="38">
                  <c:v>31.385787750963363</c:v>
                </c:pt>
                <c:pt idx="39">
                  <c:v>33.606181036134601</c:v>
                </c:pt>
                <c:pt idx="40">
                  <c:v>35.585503050344393</c:v>
                </c:pt>
                <c:pt idx="41">
                  <c:v>37.294148549790449</c:v>
                </c:pt>
                <c:pt idx="42">
                  <c:v>38.710970931756854</c:v>
                </c:pt>
                <c:pt idx="43">
                  <c:v>39.83174087570044</c:v>
                </c:pt>
                <c:pt idx="44">
                  <c:v>40.673375663793919</c:v>
                </c:pt>
                <c:pt idx="45">
                  <c:v>41.265480539839579</c:v>
                </c:pt>
                <c:pt idx="46">
                  <c:v>41.650348709269267</c:v>
                </c:pt>
                <c:pt idx="47">
                  <c:v>41.882961339144337</c:v>
                </c:pt>
                <c:pt idx="48">
                  <c:v>42.009840955439842</c:v>
                </c:pt>
                <c:pt idx="49">
                  <c:v>42.077510084130772</c:v>
                </c:pt>
                <c:pt idx="50">
                  <c:v>42.119803289562604</c:v>
                </c:pt>
                <c:pt idx="51">
                  <c:v>42.153637853908066</c:v>
                </c:pt>
                <c:pt idx="52">
                  <c:v>42.191701738796716</c:v>
                </c:pt>
                <c:pt idx="53">
                  <c:v>42.233994944228556</c:v>
                </c:pt>
                <c:pt idx="54">
                  <c:v>42.272058829117206</c:v>
                </c:pt>
                <c:pt idx="55">
                  <c:v>42.301664072919486</c:v>
                </c:pt>
                <c:pt idx="56">
                  <c:v>42.301664072919486</c:v>
                </c:pt>
                <c:pt idx="57">
                  <c:v>42.301664072919486</c:v>
                </c:pt>
                <c:pt idx="58">
                  <c:v>42.301664072919486</c:v>
                </c:pt>
                <c:pt idx="59">
                  <c:v>42.301664072919486</c:v>
                </c:pt>
                <c:pt idx="60">
                  <c:v>42.301664072919486</c:v>
                </c:pt>
                <c:pt idx="61">
                  <c:v>42.301664072919486</c:v>
                </c:pt>
                <c:pt idx="62">
                  <c:v>42.301664072919486</c:v>
                </c:pt>
                <c:pt idx="63">
                  <c:v>42.301664072919486</c:v>
                </c:pt>
                <c:pt idx="64">
                  <c:v>42.301664072919486</c:v>
                </c:pt>
                <c:pt idx="65">
                  <c:v>42.301664072919486</c:v>
                </c:pt>
                <c:pt idx="66">
                  <c:v>42.301664072919486</c:v>
                </c:pt>
                <c:pt idx="67">
                  <c:v>42.301664072919486</c:v>
                </c:pt>
                <c:pt idx="68">
                  <c:v>42.301664072919486</c:v>
                </c:pt>
                <c:pt idx="69">
                  <c:v>42.301664072919486</c:v>
                </c:pt>
                <c:pt idx="70">
                  <c:v>42.301664072919486</c:v>
                </c:pt>
                <c:pt idx="71">
                  <c:v>42.301664072919486</c:v>
                </c:pt>
                <c:pt idx="72">
                  <c:v>42.301664072919486</c:v>
                </c:pt>
                <c:pt idx="73">
                  <c:v>42.301664072919486</c:v>
                </c:pt>
                <c:pt idx="74">
                  <c:v>42.301664072919486</c:v>
                </c:pt>
                <c:pt idx="75">
                  <c:v>42.301664072919486</c:v>
                </c:pt>
                <c:pt idx="76">
                  <c:v>42.301664072919486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86-4271-B139-9C513161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'51'!$F$12:$F$21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'51'!$G$12:$G$21</c:f>
              <c:numCache>
                <c:formatCode>0.00</c:formatCode>
                <c:ptCount val="10"/>
                <c:pt idx="0">
                  <c:v>100.00000000000001</c:v>
                </c:pt>
                <c:pt idx="1">
                  <c:v>94.507035011747504</c:v>
                </c:pt>
                <c:pt idx="2">
                  <c:v>92.218299599975637</c:v>
                </c:pt>
                <c:pt idx="3">
                  <c:v>88.098575858786234</c:v>
                </c:pt>
                <c:pt idx="4">
                  <c:v>79.630254835230303</c:v>
                </c:pt>
                <c:pt idx="5">
                  <c:v>70.933060270497194</c:v>
                </c:pt>
                <c:pt idx="6">
                  <c:v>64.295727576358757</c:v>
                </c:pt>
                <c:pt idx="7">
                  <c:v>54.68303884691688</c:v>
                </c:pt>
                <c:pt idx="8">
                  <c:v>48.274579693955644</c:v>
                </c:pt>
                <c:pt idx="9">
                  <c:v>42.78161470570317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3-4029-936E-9B2DF2532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'53'!$F$12:$F$21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'53'!$G$12:$G$21</c:f>
              <c:numCache>
                <c:formatCode>0.00</c:formatCode>
                <c:ptCount val="10"/>
                <c:pt idx="0">
                  <c:v>99.999999999999986</c:v>
                </c:pt>
                <c:pt idx="1">
                  <c:v>97.564518005217892</c:v>
                </c:pt>
                <c:pt idx="2">
                  <c:v>95.12903601043584</c:v>
                </c:pt>
                <c:pt idx="3">
                  <c:v>91.475813018262741</c:v>
                </c:pt>
                <c:pt idx="4">
                  <c:v>82.647190787177806</c:v>
                </c:pt>
                <c:pt idx="5">
                  <c:v>73.209698057397347</c:v>
                </c:pt>
                <c:pt idx="6">
                  <c:v>66.512122571746673</c:v>
                </c:pt>
                <c:pt idx="7">
                  <c:v>56.1613240939229</c:v>
                </c:pt>
                <c:pt idx="8">
                  <c:v>49.463748608272269</c:v>
                </c:pt>
                <c:pt idx="9">
                  <c:v>43.375043621317118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F2-41E5-BC21-5B60E183C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1224" name="Chart 4">
          <a:extLst>
            <a:ext uri="{FF2B5EF4-FFF2-40B4-BE49-F238E27FC236}">
              <a16:creationId xmlns:a16="http://schemas.microsoft.com/office/drawing/2014/main" id="{65510E4A-E7B3-2750-2D15-1B683CC7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4293" name="Chart 1">
          <a:extLst>
            <a:ext uri="{FF2B5EF4-FFF2-40B4-BE49-F238E27FC236}">
              <a16:creationId xmlns:a16="http://schemas.microsoft.com/office/drawing/2014/main" id="{D881B1FB-C600-0258-2752-01E44DD36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453411</xdr:colOff>
      <xdr:row>20</xdr:row>
      <xdr:rowOff>79784</xdr:rowOff>
    </xdr:from>
    <xdr:to>
      <xdr:col>19</xdr:col>
      <xdr:colOff>220304</xdr:colOff>
      <xdr:row>42</xdr:row>
      <xdr:rowOff>1638</xdr:rowOff>
    </xdr:to>
    <xdr:graphicFrame macro="">
      <xdr:nvGraphicFramePr>
        <xdr:cNvPr id="398341" name="Chart 4">
          <a:extLst>
            <a:ext uri="{FF2B5EF4-FFF2-40B4-BE49-F238E27FC236}">
              <a16:creationId xmlns:a16="http://schemas.microsoft.com/office/drawing/2014/main" id="{51045D50-304B-A066-0C2E-69A885124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C9FE9E9-A220-4759-8225-D570B0564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EE70308-9508-481D-9E2B-7325C5DBC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5575EDD-C9FD-4986-AEFC-B0B3DA797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BE57897-EC9F-4FE2-B97A-3F1CCD6AE0EB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B294430-12B2-402B-90E9-19DE83036C08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e0b46f04-1937-439c-b449-31e7fd24d49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A469-DED7-4076-A1C5-3F3EFCF08C64}">
  <dimension ref="A1:L53"/>
  <sheetViews>
    <sheetView zoomScale="75" workbookViewId="0">
      <selection activeCell="K28" sqref="K2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9" max="9" width="17.140625" bestFit="1" customWidth="1"/>
    <col min="11" max="11" width="18.42578125" bestFit="1" customWidth="1"/>
  </cols>
  <sheetData>
    <row r="1" spans="1:12" ht="18" x14ac:dyDescent="0.25">
      <c r="A1" s="6" t="s">
        <v>0</v>
      </c>
      <c r="B1" s="6"/>
    </row>
    <row r="2" spans="1:12" ht="15.75" x14ac:dyDescent="0.25">
      <c r="A2" s="1"/>
    </row>
    <row r="3" spans="1:12" ht="13.5" thickBot="1" x14ac:dyDescent="0.25">
      <c r="A3" s="3" t="s">
        <v>1</v>
      </c>
      <c r="B3" s="38"/>
      <c r="C3" s="4"/>
      <c r="D3" s="4"/>
      <c r="E3" s="4"/>
    </row>
    <row r="4" spans="1:12" ht="13.5" thickBot="1" x14ac:dyDescent="0.25">
      <c r="A4" s="7" t="s">
        <v>2</v>
      </c>
      <c r="B4" s="43"/>
      <c r="C4" s="45" t="s">
        <v>3</v>
      </c>
      <c r="D4" s="35" t="s">
        <v>4</v>
      </c>
      <c r="E4" s="46" t="s">
        <v>5</v>
      </c>
      <c r="G4" s="37"/>
    </row>
    <row r="5" spans="1:12" ht="13.5" thickBot="1" x14ac:dyDescent="0.25">
      <c r="A5" s="7" t="s">
        <v>6</v>
      </c>
      <c r="B5" s="47"/>
      <c r="C5" s="44"/>
      <c r="D5" s="10" t="s">
        <v>7</v>
      </c>
      <c r="E5" s="16"/>
      <c r="G5" s="37"/>
    </row>
    <row r="6" spans="1:12" ht="13.5" thickBot="1" x14ac:dyDescent="0.25">
      <c r="A6" s="12" t="s">
        <v>8</v>
      </c>
      <c r="B6" s="19" t="e">
        <f>100-(D22/C5*100)</f>
        <v>#DIV/0!</v>
      </c>
      <c r="C6" s="5">
        <v>0</v>
      </c>
      <c r="D6" s="13"/>
      <c r="E6" s="5"/>
      <c r="F6" s="9"/>
    </row>
    <row r="7" spans="1:12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  <c r="I7" s="39"/>
    </row>
    <row r="8" spans="1:12" ht="14.25" customHeight="1" thickBot="1" x14ac:dyDescent="0.25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  <c r="I8" s="39"/>
    </row>
    <row r="9" spans="1:12" ht="14.25" customHeight="1" x14ac:dyDescent="0.2">
      <c r="A9" s="21"/>
      <c r="B9" s="29"/>
      <c r="C9" s="29"/>
      <c r="D9" s="30"/>
      <c r="E9" s="28" t="e">
        <f t="shared" ref="E9:E22" si="0">D9/$D$22*100</f>
        <v>#DIV/0!</v>
      </c>
      <c r="F9" s="21"/>
      <c r="G9" s="30"/>
      <c r="I9" s="41"/>
      <c r="J9" s="40"/>
    </row>
    <row r="10" spans="1:12" ht="14.25" customHeight="1" x14ac:dyDescent="0.2">
      <c r="A10" s="21"/>
      <c r="B10" s="21"/>
      <c r="C10" s="21"/>
      <c r="D10" s="31">
        <f>B10-C10</f>
        <v>0</v>
      </c>
      <c r="E10" s="28" t="e">
        <f t="shared" si="0"/>
        <v>#DIV/0!</v>
      </c>
      <c r="F10" s="21"/>
      <c r="G10" s="28" t="e">
        <f t="shared" ref="G10:G20" si="1">G11+E10</f>
        <v>#DIV/0!</v>
      </c>
    </row>
    <row r="11" spans="1:12" ht="14.25" customHeight="1" x14ac:dyDescent="0.2">
      <c r="A11" s="21"/>
      <c r="B11" s="21"/>
      <c r="C11" s="21"/>
      <c r="D11" s="31">
        <f t="shared" ref="D11:D21" si="2">B11-C11</f>
        <v>0</v>
      </c>
      <c r="E11" s="28" t="e">
        <f t="shared" si="0"/>
        <v>#DIV/0!</v>
      </c>
      <c r="F11" s="21"/>
      <c r="G11" s="28" t="e">
        <f t="shared" si="1"/>
        <v>#DIV/0!</v>
      </c>
      <c r="K11" t="s">
        <v>20</v>
      </c>
    </row>
    <row r="12" spans="1:12" x14ac:dyDescent="0.2">
      <c r="A12" s="27">
        <v>2</v>
      </c>
      <c r="B12" s="28"/>
      <c r="C12" s="48"/>
      <c r="D12" s="34">
        <f t="shared" si="2"/>
        <v>0</v>
      </c>
      <c r="E12" s="28" t="e">
        <f t="shared" si="0"/>
        <v>#DIV/0!</v>
      </c>
      <c r="F12" s="21"/>
      <c r="G12" s="28" t="e">
        <f t="shared" si="1"/>
        <v>#DIV/0!</v>
      </c>
      <c r="K12" t="s">
        <v>21</v>
      </c>
    </row>
    <row r="13" spans="1:12" x14ac:dyDescent="0.2">
      <c r="A13" s="27">
        <v>1</v>
      </c>
      <c r="B13" s="28"/>
      <c r="C13" s="28"/>
      <c r="D13" s="34">
        <f t="shared" si="2"/>
        <v>0</v>
      </c>
      <c r="E13" s="28" t="e">
        <f t="shared" si="0"/>
        <v>#DIV/0!</v>
      </c>
      <c r="F13" s="27">
        <v>2</v>
      </c>
      <c r="G13" s="28" t="e">
        <f t="shared" si="1"/>
        <v>#DIV/0!</v>
      </c>
      <c r="I13" s="41"/>
      <c r="K13" s="40" t="s">
        <v>22</v>
      </c>
      <c r="L13" s="40"/>
    </row>
    <row r="14" spans="1:12" x14ac:dyDescent="0.2">
      <c r="A14" s="27">
        <v>0.6</v>
      </c>
      <c r="B14" s="28"/>
      <c r="C14" s="28"/>
      <c r="D14" s="34">
        <f t="shared" si="2"/>
        <v>0</v>
      </c>
      <c r="E14" s="28" t="e">
        <f t="shared" si="0"/>
        <v>#DIV/0!</v>
      </c>
      <c r="F14" s="27">
        <v>1</v>
      </c>
      <c r="G14" s="28" t="e">
        <f t="shared" si="1"/>
        <v>#DIV/0!</v>
      </c>
      <c r="I14" s="41"/>
      <c r="K14" t="s">
        <v>21</v>
      </c>
      <c r="L14" s="40">
        <f>L12-L13</f>
        <v>0</v>
      </c>
    </row>
    <row r="15" spans="1:12" x14ac:dyDescent="0.2">
      <c r="A15" s="27">
        <v>0.35499999999999998</v>
      </c>
      <c r="B15" s="28"/>
      <c r="C15" s="28"/>
      <c r="D15" s="34">
        <f t="shared" si="2"/>
        <v>0</v>
      </c>
      <c r="E15" s="28" t="e">
        <f t="shared" si="0"/>
        <v>#DIV/0!</v>
      </c>
      <c r="F15" s="27">
        <v>0.6</v>
      </c>
      <c r="G15" s="28" t="e">
        <f t="shared" si="1"/>
        <v>#DIV/0!</v>
      </c>
      <c r="I15" s="41"/>
      <c r="K15" s="42" t="s">
        <v>23</v>
      </c>
      <c r="L15" s="40"/>
    </row>
    <row r="16" spans="1:12" x14ac:dyDescent="0.2">
      <c r="A16" s="27">
        <v>0.25</v>
      </c>
      <c r="B16" s="28"/>
      <c r="C16" s="28"/>
      <c r="D16" s="34">
        <f t="shared" si="2"/>
        <v>0</v>
      </c>
      <c r="E16" s="28" t="e">
        <f t="shared" si="0"/>
        <v>#DIV/0!</v>
      </c>
      <c r="F16" s="27">
        <v>0.35499999999999998</v>
      </c>
      <c r="G16" s="28" t="e">
        <f t="shared" si="1"/>
        <v>#DIV/0!</v>
      </c>
      <c r="I16" s="41"/>
      <c r="K16" s="42" t="s">
        <v>24</v>
      </c>
      <c r="L16" s="40">
        <f>(L11-L14)+L15</f>
        <v>0</v>
      </c>
    </row>
    <row r="17" spans="1:12" x14ac:dyDescent="0.2">
      <c r="A17" s="27">
        <v>0.18</v>
      </c>
      <c r="B17" s="28"/>
      <c r="C17" s="28"/>
      <c r="D17" s="34">
        <f t="shared" si="2"/>
        <v>0</v>
      </c>
      <c r="E17" s="28" t="e">
        <f t="shared" si="0"/>
        <v>#DIV/0!</v>
      </c>
      <c r="F17" s="27">
        <v>0.25</v>
      </c>
      <c r="G17" s="28" t="e">
        <f t="shared" si="1"/>
        <v>#DIV/0!</v>
      </c>
      <c r="K17" s="42" t="s">
        <v>25</v>
      </c>
      <c r="L17" s="40">
        <f>C21</f>
        <v>0</v>
      </c>
    </row>
    <row r="18" spans="1:12" x14ac:dyDescent="0.2">
      <c r="A18" s="27">
        <v>0.125</v>
      </c>
      <c r="B18" s="28"/>
      <c r="C18" s="28"/>
      <c r="D18" s="34">
        <f t="shared" si="2"/>
        <v>0</v>
      </c>
      <c r="E18" s="28" t="e">
        <f t="shared" si="0"/>
        <v>#DIV/0!</v>
      </c>
      <c r="F18" s="27">
        <v>0.18</v>
      </c>
      <c r="G18" s="28" t="e">
        <f t="shared" si="1"/>
        <v>#DIV/0!</v>
      </c>
      <c r="K18" s="42" t="s">
        <v>26</v>
      </c>
      <c r="L18" s="40">
        <f>L16+L17</f>
        <v>0</v>
      </c>
    </row>
    <row r="19" spans="1:12" x14ac:dyDescent="0.2">
      <c r="A19" s="27">
        <v>0.09</v>
      </c>
      <c r="B19" s="28"/>
      <c r="C19" s="28"/>
      <c r="D19" s="34">
        <f t="shared" si="2"/>
        <v>0</v>
      </c>
      <c r="E19" s="28" t="e">
        <f t="shared" si="0"/>
        <v>#DIV/0!</v>
      </c>
      <c r="F19" s="27">
        <v>0.125</v>
      </c>
      <c r="G19" s="28" t="e">
        <f t="shared" si="1"/>
        <v>#DIV/0!</v>
      </c>
    </row>
    <row r="20" spans="1:12" x14ac:dyDescent="0.2">
      <c r="A20" s="27">
        <v>6.3E-2</v>
      </c>
      <c r="B20" s="28"/>
      <c r="C20" s="28"/>
      <c r="D20" s="34">
        <f t="shared" si="2"/>
        <v>0</v>
      </c>
      <c r="E20" s="28" t="e">
        <f t="shared" si="0"/>
        <v>#DIV/0!</v>
      </c>
      <c r="F20" s="27">
        <v>0.09</v>
      </c>
      <c r="G20" s="28" t="e">
        <f t="shared" si="1"/>
        <v>#DIV/0!</v>
      </c>
    </row>
    <row r="21" spans="1:12" x14ac:dyDescent="0.2">
      <c r="A21" s="2" t="s">
        <v>25</v>
      </c>
      <c r="B21" s="28"/>
      <c r="C21" s="28"/>
      <c r="D21" s="34">
        <f t="shared" si="2"/>
        <v>0</v>
      </c>
      <c r="E21" s="28" t="e">
        <f t="shared" si="0"/>
        <v>#DIV/0!</v>
      </c>
      <c r="F21" s="27">
        <v>6.3E-2</v>
      </c>
      <c r="G21" s="28" t="e">
        <f>E21</f>
        <v>#DIV/0!</v>
      </c>
    </row>
    <row r="22" spans="1:12" x14ac:dyDescent="0.2">
      <c r="A22" s="2" t="s">
        <v>27</v>
      </c>
      <c r="B22" s="2"/>
      <c r="C22" s="21"/>
      <c r="D22" s="36">
        <f>SUM(D9:D21)</f>
        <v>0</v>
      </c>
      <c r="E22" s="28" t="e">
        <f t="shared" si="0"/>
        <v>#DIV/0!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</sheetData>
  <phoneticPr fontId="3" type="noConversion"/>
  <pageMargins left="0.39370078740157483" right="0.39370078740157483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14A3-C572-4071-8F8C-2001C88B3F53}">
  <dimension ref="A1:G53"/>
  <sheetViews>
    <sheetView zoomScale="120" zoomScaleNormal="120" workbookViewId="0">
      <selection activeCell="I21" sqref="I21"/>
    </sheetView>
  </sheetViews>
  <sheetFormatPr defaultRowHeight="12.75" x14ac:dyDescent="0.2"/>
  <cols>
    <col min="1" max="1" width="11.85546875" customWidth="1"/>
    <col min="2" max="2" width="13.7109375" customWidth="1"/>
    <col min="3" max="3" width="10" customWidth="1"/>
    <col min="4" max="4" width="10.7109375" customWidth="1"/>
    <col min="5" max="5" width="10.85546875" customWidth="1"/>
    <col min="6" max="6" width="10.5703125" customWidth="1"/>
    <col min="7" max="7" width="11.140625" bestFit="1" customWidth="1"/>
  </cols>
  <sheetData>
    <row r="1" spans="1:7" ht="18" x14ac:dyDescent="0.25">
      <c r="A1" s="6" t="s">
        <v>41</v>
      </c>
    </row>
    <row r="2" spans="1:7" ht="15.75" x14ac:dyDescent="0.25">
      <c r="A2" s="1"/>
    </row>
    <row r="3" spans="1:7" ht="13.5" thickBot="1" x14ac:dyDescent="0.25">
      <c r="A3" s="3" t="s">
        <v>42</v>
      </c>
      <c r="B3" s="4"/>
      <c r="C3" s="4"/>
      <c r="D3" s="4"/>
      <c r="E3" s="4"/>
    </row>
    <row r="4" spans="1:7" ht="13.5" thickBot="1" x14ac:dyDescent="0.25">
      <c r="A4" s="7" t="s">
        <v>43</v>
      </c>
      <c r="B4" s="8" t="s">
        <v>44</v>
      </c>
      <c r="C4" s="45" t="s">
        <v>45</v>
      </c>
      <c r="D4" s="8" t="s">
        <v>46</v>
      </c>
      <c r="E4" s="46" t="s">
        <v>5</v>
      </c>
    </row>
    <row r="5" spans="1:7" ht="13.5" thickBot="1" x14ac:dyDescent="0.25">
      <c r="A5" s="7" t="s">
        <v>47</v>
      </c>
      <c r="B5" s="11"/>
      <c r="C5" s="15">
        <v>341.73</v>
      </c>
      <c r="D5" s="10" t="s">
        <v>7</v>
      </c>
      <c r="E5" s="16"/>
    </row>
    <row r="6" spans="1:7" ht="13.5" thickBot="1" x14ac:dyDescent="0.25">
      <c r="A6" s="12" t="s">
        <v>48</v>
      </c>
      <c r="B6" s="19">
        <f>100-(D22/C5*100)</f>
        <v>-1.6036051853802746</v>
      </c>
      <c r="C6" s="5"/>
      <c r="D6" s="13"/>
      <c r="E6" s="5"/>
      <c r="F6" s="9"/>
    </row>
    <row r="7" spans="1:7" x14ac:dyDescent="0.2">
      <c r="A7" s="17" t="s">
        <v>49</v>
      </c>
      <c r="B7" s="32" t="s">
        <v>50</v>
      </c>
      <c r="C7" s="22" t="s">
        <v>51</v>
      </c>
      <c r="D7" s="22" t="s">
        <v>52</v>
      </c>
      <c r="E7" s="23" t="s">
        <v>53</v>
      </c>
      <c r="F7" s="23" t="s">
        <v>54</v>
      </c>
      <c r="G7" s="22" t="s">
        <v>55</v>
      </c>
    </row>
    <row r="8" spans="1:7" ht="13.5" thickBot="1" x14ac:dyDescent="0.25">
      <c r="A8" s="24" t="s">
        <v>15</v>
      </c>
      <c r="B8" s="33" t="s">
        <v>16</v>
      </c>
      <c r="C8" s="25" t="s">
        <v>16</v>
      </c>
      <c r="D8" s="25" t="s">
        <v>56</v>
      </c>
      <c r="E8" s="26" t="s">
        <v>57</v>
      </c>
      <c r="F8" s="26"/>
      <c r="G8" s="25" t="s">
        <v>58</v>
      </c>
    </row>
    <row r="9" spans="1:7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7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7" x14ac:dyDescent="0.2">
      <c r="A11" s="21"/>
      <c r="B11" s="21"/>
      <c r="C11" s="21"/>
      <c r="D11" s="31">
        <f t="shared" ref="D11:D21" si="2">B11-C11</f>
        <v>0</v>
      </c>
      <c r="E11" s="28">
        <f t="shared" si="0"/>
        <v>0</v>
      </c>
      <c r="F11" s="21"/>
      <c r="G11" s="28">
        <f t="shared" si="1"/>
        <v>100</v>
      </c>
    </row>
    <row r="12" spans="1:7" x14ac:dyDescent="0.2">
      <c r="A12" s="27">
        <v>2</v>
      </c>
      <c r="B12" s="21">
        <v>381.26</v>
      </c>
      <c r="C12" s="21">
        <v>343.59</v>
      </c>
      <c r="D12" s="34">
        <f t="shared" si="2"/>
        <v>37.670000000000016</v>
      </c>
      <c r="E12" s="28">
        <f t="shared" si="0"/>
        <v>10.849341896834771</v>
      </c>
      <c r="F12" s="21"/>
      <c r="G12" s="28">
        <f t="shared" si="1"/>
        <v>100</v>
      </c>
    </row>
    <row r="13" spans="1:7" x14ac:dyDescent="0.2">
      <c r="A13" s="27">
        <v>1</v>
      </c>
      <c r="B13" s="21">
        <v>370.47</v>
      </c>
      <c r="C13" s="28">
        <v>308.41000000000003</v>
      </c>
      <c r="D13" s="34">
        <f t="shared" si="2"/>
        <v>62.06</v>
      </c>
      <c r="E13" s="28">
        <f t="shared" si="0"/>
        <v>17.873909161602487</v>
      </c>
      <c r="F13" s="27">
        <v>2</v>
      </c>
      <c r="G13" s="28">
        <f t="shared" si="1"/>
        <v>89.150658103165227</v>
      </c>
    </row>
    <row r="14" spans="1:7" x14ac:dyDescent="0.2">
      <c r="A14" s="27">
        <v>0.5</v>
      </c>
      <c r="B14" s="21">
        <v>363.29</v>
      </c>
      <c r="C14" s="21">
        <v>274.22000000000003</v>
      </c>
      <c r="D14" s="34">
        <f t="shared" si="2"/>
        <v>89.07</v>
      </c>
      <c r="E14" s="28">
        <f t="shared" si="0"/>
        <v>25.653062987817165</v>
      </c>
      <c r="F14" s="27">
        <v>1</v>
      </c>
      <c r="G14" s="28">
        <f t="shared" si="1"/>
        <v>71.276748941562744</v>
      </c>
    </row>
    <row r="15" spans="1:7" x14ac:dyDescent="0.2">
      <c r="A15" s="27">
        <v>0.35499999999999998</v>
      </c>
      <c r="B15" s="21">
        <v>321.56</v>
      </c>
      <c r="C15" s="21">
        <v>282.95999999999998</v>
      </c>
      <c r="D15" s="34">
        <f t="shared" si="2"/>
        <v>38.600000000000023</v>
      </c>
      <c r="E15" s="28">
        <f t="shared" si="0"/>
        <v>11.11719132513465</v>
      </c>
      <c r="F15" s="27">
        <v>0.5</v>
      </c>
      <c r="G15" s="28">
        <f t="shared" si="1"/>
        <v>45.623685953745579</v>
      </c>
    </row>
    <row r="16" spans="1:7" x14ac:dyDescent="0.2">
      <c r="A16" s="27">
        <v>0.25</v>
      </c>
      <c r="B16" s="21">
        <v>279.93</v>
      </c>
      <c r="C16" s="21">
        <v>247.07</v>
      </c>
      <c r="D16" s="34">
        <f t="shared" si="2"/>
        <v>32.860000000000014</v>
      </c>
      <c r="E16" s="28">
        <f t="shared" si="0"/>
        <v>9.4640131332622932</v>
      </c>
      <c r="F16" s="27">
        <v>0.35499999999999998</v>
      </c>
      <c r="G16" s="28">
        <f t="shared" si="1"/>
        <v>34.50649462861093</v>
      </c>
    </row>
    <row r="17" spans="1:7" x14ac:dyDescent="0.2">
      <c r="A17" s="27">
        <v>0.18</v>
      </c>
      <c r="B17" s="21">
        <v>270.79000000000002</v>
      </c>
      <c r="C17" s="21">
        <v>246.46</v>
      </c>
      <c r="D17" s="34">
        <f t="shared" si="2"/>
        <v>24.330000000000013</v>
      </c>
      <c r="E17" s="28">
        <f t="shared" si="0"/>
        <v>7.0072866564903107</v>
      </c>
      <c r="F17" s="27">
        <v>0.25</v>
      </c>
      <c r="G17" s="28">
        <f t="shared" si="1"/>
        <v>25.042481495348639</v>
      </c>
    </row>
    <row r="18" spans="1:7" x14ac:dyDescent="0.2">
      <c r="A18" s="27">
        <v>0.125</v>
      </c>
      <c r="B18" s="28">
        <v>270.87</v>
      </c>
      <c r="C18" s="21">
        <v>247.49</v>
      </c>
      <c r="D18" s="34">
        <f t="shared" si="2"/>
        <v>23.379999999999995</v>
      </c>
      <c r="E18" s="28">
        <f t="shared" si="0"/>
        <v>6.7336770254312937</v>
      </c>
      <c r="F18" s="27">
        <v>0.18</v>
      </c>
      <c r="G18" s="28">
        <f t="shared" si="1"/>
        <v>18.035194838858327</v>
      </c>
    </row>
    <row r="19" spans="1:7" x14ac:dyDescent="0.2">
      <c r="A19" s="27">
        <v>0.9</v>
      </c>
      <c r="B19" s="28">
        <v>272.64999999999998</v>
      </c>
      <c r="C19" s="21">
        <v>251.88</v>
      </c>
      <c r="D19" s="34">
        <f t="shared" si="2"/>
        <v>20.769999999999982</v>
      </c>
      <c r="E19" s="28">
        <f t="shared" si="0"/>
        <v>5.9819705653638948</v>
      </c>
      <c r="F19" s="27">
        <v>0.125</v>
      </c>
      <c r="G19" s="28">
        <f t="shared" si="1"/>
        <v>11.301517813427035</v>
      </c>
    </row>
    <row r="20" spans="1:7" x14ac:dyDescent="0.2">
      <c r="A20" s="27">
        <v>6.3E-2</v>
      </c>
      <c r="B20" s="21">
        <v>243.63</v>
      </c>
      <c r="C20" s="21">
        <v>234.81</v>
      </c>
      <c r="D20" s="34">
        <f t="shared" si="2"/>
        <v>8.8199999999999932</v>
      </c>
      <c r="E20" s="28">
        <f t="shared" si="0"/>
        <v>2.5402494167794685</v>
      </c>
      <c r="F20" s="27">
        <v>0.09</v>
      </c>
      <c r="G20" s="28">
        <f t="shared" si="1"/>
        <v>5.3195472480631398</v>
      </c>
    </row>
    <row r="21" spans="1:7" x14ac:dyDescent="0.2">
      <c r="A21" s="2" t="s">
        <v>59</v>
      </c>
      <c r="B21" s="21">
        <v>345.61</v>
      </c>
      <c r="C21" s="21">
        <v>335.96</v>
      </c>
      <c r="D21" s="34">
        <f t="shared" si="2"/>
        <v>9.6500000000000341</v>
      </c>
      <c r="E21" s="28">
        <f t="shared" si="0"/>
        <v>2.7792978312836709</v>
      </c>
      <c r="F21" s="27">
        <v>6.3E-2</v>
      </c>
      <c r="G21" s="28">
        <f>E21</f>
        <v>2.7792978312836709</v>
      </c>
    </row>
    <row r="22" spans="1:7" x14ac:dyDescent="0.2">
      <c r="A22" s="2" t="s">
        <v>27</v>
      </c>
      <c r="B22" s="2"/>
      <c r="C22" s="21"/>
      <c r="D22" s="28">
        <f>SUM(D9:D21)</f>
        <v>347.21000000000004</v>
      </c>
      <c r="E22" s="28">
        <f t="shared" si="0"/>
        <v>100</v>
      </c>
      <c r="F22" s="21"/>
      <c r="G22" s="28"/>
    </row>
    <row r="47" spans="1:5" x14ac:dyDescent="0.2">
      <c r="A47" t="s">
        <v>60</v>
      </c>
      <c r="D47" s="2" t="s">
        <v>29</v>
      </c>
      <c r="E47" s="14">
        <v>0.125</v>
      </c>
    </row>
    <row r="48" spans="1:5" x14ac:dyDescent="0.2">
      <c r="A48" t="s">
        <v>61</v>
      </c>
      <c r="D48" s="2" t="s">
        <v>31</v>
      </c>
      <c r="E48" s="14">
        <v>0.15</v>
      </c>
    </row>
    <row r="49" spans="1:5" x14ac:dyDescent="0.2">
      <c r="A49" t="s">
        <v>62</v>
      </c>
      <c r="D49" s="2" t="s">
        <v>33</v>
      </c>
      <c r="E49" s="14">
        <v>7.4999999999999997E-2</v>
      </c>
    </row>
    <row r="50" spans="1:5" x14ac:dyDescent="0.2">
      <c r="A50" t="s">
        <v>63</v>
      </c>
      <c r="C50" t="s">
        <v>35</v>
      </c>
      <c r="E50" s="18">
        <f>E48/E49</f>
        <v>2</v>
      </c>
    </row>
    <row r="51" spans="1:5" x14ac:dyDescent="0.2">
      <c r="A51" t="s">
        <v>64</v>
      </c>
      <c r="C51" t="s">
        <v>65</v>
      </c>
      <c r="E51" s="18">
        <f>SQRT(E52/E53)</f>
        <v>1.3416407864998738</v>
      </c>
    </row>
    <row r="52" spans="1:5" x14ac:dyDescent="0.2">
      <c r="A52" t="s">
        <v>66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</sheetData>
  <phoneticPr fontId="3" type="noConversion"/>
  <pageMargins left="0.75" right="0.75" top="1" bottom="1" header="0.5" footer="0.5"/>
  <pageSetup paperSize="9" orientation="portrait" r:id="rId1"/>
  <headerFooter alignWithMargins="0">
    <oddHeader>&amp;A</oddHeader>
    <oddFooter>Side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BBED-F1A4-4E48-AFC8-C5D78304FBD6}">
  <dimension ref="A1:J136"/>
  <sheetViews>
    <sheetView tabSelected="1" topLeftCell="A30" zoomScale="93" workbookViewId="0">
      <selection activeCell="I58" sqref="I5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9" max="9" width="18.42578125" bestFit="1" customWidth="1"/>
  </cols>
  <sheetData>
    <row r="1" spans="1:10" ht="46.5" customHeight="1" x14ac:dyDescent="0.25">
      <c r="A1" s="6" t="s">
        <v>0</v>
      </c>
      <c r="B1" s="6"/>
    </row>
    <row r="2" spans="1:10" ht="15.75" x14ac:dyDescent="0.25">
      <c r="A2" s="1"/>
    </row>
    <row r="3" spans="1:10" ht="13.5" thickBot="1" x14ac:dyDescent="0.25">
      <c r="A3" s="3" t="s">
        <v>1</v>
      </c>
      <c r="B3" s="38">
        <v>32</v>
      </c>
      <c r="C3" s="4"/>
      <c r="D3" s="4"/>
      <c r="E3" s="4"/>
    </row>
    <row r="4" spans="1:10" ht="13.5" thickBot="1" x14ac:dyDescent="0.25">
      <c r="A4" s="7" t="s">
        <v>2</v>
      </c>
      <c r="B4" s="43"/>
      <c r="C4" s="45" t="s">
        <v>3</v>
      </c>
      <c r="D4" s="35" t="s">
        <v>67</v>
      </c>
      <c r="E4" s="46" t="s">
        <v>5</v>
      </c>
      <c r="G4" s="37"/>
    </row>
    <row r="5" spans="1:10" ht="13.5" thickBot="1" x14ac:dyDescent="0.25">
      <c r="A5" s="7" t="s">
        <v>6</v>
      </c>
      <c r="B5" s="47"/>
      <c r="C5" s="44">
        <f>J11-J13</f>
        <v>33.174300000000002</v>
      </c>
      <c r="D5" s="10" t="s">
        <v>7</v>
      </c>
      <c r="E5" s="16"/>
      <c r="G5" s="37"/>
    </row>
    <row r="6" spans="1:10" ht="13.5" thickBot="1" x14ac:dyDescent="0.25">
      <c r="A6" s="12" t="s">
        <v>8</v>
      </c>
      <c r="B6" s="19">
        <f>100-(D22/C5*100)</f>
        <v>-20.497794979848877</v>
      </c>
      <c r="C6" s="5">
        <v>0</v>
      </c>
      <c r="D6" s="13"/>
      <c r="E6" s="5"/>
      <c r="F6" s="9"/>
    </row>
    <row r="7" spans="1:10" ht="15.7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</row>
    <row r="8" spans="1:10" ht="14.25" customHeight="1" thickBot="1" x14ac:dyDescent="0.25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10" ht="14.25" customHeight="1" x14ac:dyDescent="0.2">
      <c r="A11" s="21"/>
      <c r="B11" s="21"/>
      <c r="C11" s="21"/>
      <c r="D11" s="31">
        <f t="shared" ref="D11:D20" si="2">B11-C11</f>
        <v>0</v>
      </c>
      <c r="E11" s="28">
        <f t="shared" si="0"/>
        <v>0</v>
      </c>
      <c r="F11" s="21"/>
      <c r="G11" s="28">
        <f t="shared" si="1"/>
        <v>100</v>
      </c>
      <c r="I11" s="41" t="s">
        <v>20</v>
      </c>
      <c r="J11">
        <v>39.574300000000001</v>
      </c>
    </row>
    <row r="12" spans="1:10" x14ac:dyDescent="0.2">
      <c r="A12" s="27">
        <v>2</v>
      </c>
      <c r="B12" s="28">
        <v>138.69999999999999</v>
      </c>
      <c r="C12" s="48">
        <v>136</v>
      </c>
      <c r="D12" s="34">
        <f t="shared" si="2"/>
        <v>2.6999999999999886</v>
      </c>
      <c r="E12" s="28">
        <f>D12/$D$22*100</f>
        <v>6.7543396632335977</v>
      </c>
      <c r="F12" s="21">
        <v>6.3</v>
      </c>
      <c r="G12" s="28">
        <f>G13+E12</f>
        <v>100</v>
      </c>
      <c r="I12" t="s">
        <v>21</v>
      </c>
      <c r="J12">
        <v>31.2</v>
      </c>
    </row>
    <row r="13" spans="1:10" x14ac:dyDescent="0.2">
      <c r="A13" s="27">
        <v>1</v>
      </c>
      <c r="B13" s="28">
        <v>120.1</v>
      </c>
      <c r="C13" s="28">
        <v>118.7</v>
      </c>
      <c r="D13" s="34">
        <f t="shared" si="2"/>
        <v>1.3999999999999915</v>
      </c>
      <c r="E13" s="28">
        <f t="shared" si="0"/>
        <v>3.5022501957507481</v>
      </c>
      <c r="F13" s="27">
        <v>2</v>
      </c>
      <c r="G13" s="28">
        <f t="shared" si="1"/>
        <v>93.245660336766406</v>
      </c>
      <c r="I13" s="40" t="s">
        <v>22</v>
      </c>
      <c r="J13" s="40">
        <v>6.4</v>
      </c>
    </row>
    <row r="14" spans="1:10" x14ac:dyDescent="0.2">
      <c r="A14" s="27">
        <v>0.6</v>
      </c>
      <c r="B14" s="28">
        <v>119</v>
      </c>
      <c r="C14" s="28">
        <v>117.3</v>
      </c>
      <c r="D14" s="34">
        <f t="shared" si="2"/>
        <v>1.7000000000000028</v>
      </c>
      <c r="E14" s="28">
        <f t="shared" si="0"/>
        <v>4.2527323805545132</v>
      </c>
      <c r="F14" s="27">
        <v>1</v>
      </c>
      <c r="G14" s="28">
        <f t="shared" si="1"/>
        <v>89.743410141015659</v>
      </c>
      <c r="I14" t="s">
        <v>21</v>
      </c>
      <c r="J14" s="40">
        <f>J12-J13</f>
        <v>24.799999999999997</v>
      </c>
    </row>
    <row r="15" spans="1:10" x14ac:dyDescent="0.2">
      <c r="A15" s="27">
        <v>0.35499999999999998</v>
      </c>
      <c r="B15" s="28">
        <v>110.8</v>
      </c>
      <c r="C15" s="28">
        <v>106.9</v>
      </c>
      <c r="D15" s="34">
        <f t="shared" si="2"/>
        <v>3.8999999999999915</v>
      </c>
      <c r="E15" s="28">
        <f t="shared" si="0"/>
        <v>9.7562684024485513</v>
      </c>
      <c r="F15" s="27">
        <v>0.6</v>
      </c>
      <c r="G15" s="28">
        <f t="shared" si="1"/>
        <v>85.490677760461139</v>
      </c>
      <c r="I15" s="42" t="s">
        <v>23</v>
      </c>
      <c r="J15" s="40">
        <f>B21-C21</f>
        <v>0.90000000000000568</v>
      </c>
    </row>
    <row r="16" spans="1:10" x14ac:dyDescent="0.2">
      <c r="A16" s="27">
        <v>0.25</v>
      </c>
      <c r="B16" s="28">
        <v>109.5</v>
      </c>
      <c r="C16" s="28">
        <v>105.6</v>
      </c>
      <c r="D16" s="34">
        <f t="shared" si="2"/>
        <v>3.9000000000000057</v>
      </c>
      <c r="E16" s="28">
        <f t="shared" si="0"/>
        <v>9.7562684024485851</v>
      </c>
      <c r="F16" s="27">
        <v>0.35499999999999998</v>
      </c>
      <c r="G16" s="28">
        <f t="shared" si="1"/>
        <v>75.734409358012584</v>
      </c>
      <c r="I16" s="42" t="s">
        <v>24</v>
      </c>
      <c r="J16" s="40">
        <f>(J11-J14)+J15</f>
        <v>15.674300000000009</v>
      </c>
    </row>
    <row r="17" spans="1:10" x14ac:dyDescent="0.2">
      <c r="A17" s="27">
        <v>0.18</v>
      </c>
      <c r="B17" s="28">
        <v>107</v>
      </c>
      <c r="C17" s="28">
        <v>104.3</v>
      </c>
      <c r="D17" s="34">
        <f t="shared" si="2"/>
        <v>2.7000000000000028</v>
      </c>
      <c r="E17" s="28">
        <f t="shared" si="0"/>
        <v>6.7543396632336341</v>
      </c>
      <c r="F17" s="27">
        <v>0.25</v>
      </c>
      <c r="G17" s="28">
        <f t="shared" si="1"/>
        <v>65.978140955564001</v>
      </c>
      <c r="I17" s="42" t="s">
        <v>25</v>
      </c>
      <c r="J17" s="40">
        <f>C21</f>
        <v>76.8</v>
      </c>
    </row>
    <row r="18" spans="1:10" x14ac:dyDescent="0.2">
      <c r="A18" s="27">
        <v>0.125</v>
      </c>
      <c r="B18" s="28">
        <v>107.2</v>
      </c>
      <c r="C18" s="28">
        <v>103.6</v>
      </c>
      <c r="D18" s="34">
        <f t="shared" si="2"/>
        <v>3.6000000000000085</v>
      </c>
      <c r="E18" s="28">
        <f t="shared" si="0"/>
        <v>9.0057862176448573</v>
      </c>
      <c r="F18" s="27">
        <v>0.18</v>
      </c>
      <c r="G18" s="28">
        <f t="shared" si="1"/>
        <v>59.223801292330364</v>
      </c>
      <c r="I18" s="42" t="s">
        <v>26</v>
      </c>
      <c r="J18" s="40">
        <f>J16+J17</f>
        <v>92.474299999999999</v>
      </c>
    </row>
    <row r="19" spans="1:10" x14ac:dyDescent="0.2">
      <c r="A19" s="27">
        <v>0.09</v>
      </c>
      <c r="B19" s="28">
        <v>106.5</v>
      </c>
      <c r="C19" s="28">
        <v>104.3</v>
      </c>
      <c r="D19" s="34">
        <f t="shared" si="2"/>
        <v>2.2000000000000028</v>
      </c>
      <c r="E19" s="28">
        <f t="shared" si="0"/>
        <v>5.5035360218940728</v>
      </c>
      <c r="F19" s="27">
        <v>0.125</v>
      </c>
      <c r="G19" s="28">
        <f t="shared" si="1"/>
        <v>50.218015074685511</v>
      </c>
    </row>
    <row r="20" spans="1:10" x14ac:dyDescent="0.2">
      <c r="A20" s="27">
        <v>6.3E-2</v>
      </c>
      <c r="B20" s="28">
        <v>106.3</v>
      </c>
      <c r="C20" s="28">
        <v>104.1</v>
      </c>
      <c r="D20" s="34">
        <f t="shared" si="2"/>
        <v>2.2000000000000028</v>
      </c>
      <c r="E20" s="28">
        <f t="shared" si="0"/>
        <v>5.5035360218940728</v>
      </c>
      <c r="F20" s="27">
        <v>0.09</v>
      </c>
      <c r="G20" s="28">
        <f t="shared" si="1"/>
        <v>44.71447905279144</v>
      </c>
    </row>
    <row r="21" spans="1:10" x14ac:dyDescent="0.2">
      <c r="A21" s="2" t="s">
        <v>25</v>
      </c>
      <c r="B21" s="28">
        <v>77.7</v>
      </c>
      <c r="C21" s="28">
        <v>76.8</v>
      </c>
      <c r="D21" s="34">
        <f>J16</f>
        <v>15.674300000000009</v>
      </c>
      <c r="E21" s="28">
        <f>D21/$D$22*100</f>
        <v>39.210943030897369</v>
      </c>
      <c r="F21" s="27">
        <v>6.3E-2</v>
      </c>
      <c r="G21" s="28">
        <f>E21</f>
        <v>39.210943030897369</v>
      </c>
    </row>
    <row r="22" spans="1:10" x14ac:dyDescent="0.2">
      <c r="A22" s="2" t="s">
        <v>27</v>
      </c>
      <c r="B22" s="2"/>
      <c r="C22" s="21"/>
      <c r="D22" s="36">
        <f>SUM(D9:D21)</f>
        <v>39.974300000000007</v>
      </c>
      <c r="E22" s="28">
        <f t="shared" si="0"/>
        <v>100</v>
      </c>
      <c r="F22">
        <f ca="1">G22/1000</f>
        <v>9.9500000000000006E-5</v>
      </c>
      <c r="G22" s="40">
        <f ca="1">(F22*$E$21/100)</f>
        <v>0</v>
      </c>
    </row>
    <row r="23" spans="1:10" x14ac:dyDescent="0.2">
      <c r="F23">
        <f t="shared" ref="F23:F73" ca="1" si="3">G23/1000</f>
        <v>1.1300000000000001E-4</v>
      </c>
      <c r="G23" s="40">
        <f t="shared" ref="G23:G81" ca="1" si="4">(F23*$E$21/100)</f>
        <v>0</v>
      </c>
    </row>
    <row r="24" spans="1:10" x14ac:dyDescent="0.2">
      <c r="F24">
        <f t="shared" ca="1" si="3"/>
        <v>1.2799999999999999E-4</v>
      </c>
      <c r="G24" s="40">
        <f t="shared" ca="1" si="4"/>
        <v>0</v>
      </c>
    </row>
    <row r="25" spans="1:10" x14ac:dyDescent="0.2">
      <c r="F25">
        <f t="shared" ca="1" si="3"/>
        <v>1.46E-4</v>
      </c>
      <c r="G25" s="40">
        <f t="shared" ca="1" si="4"/>
        <v>0</v>
      </c>
    </row>
    <row r="26" spans="1:10" x14ac:dyDescent="0.2">
      <c r="F26">
        <f t="shared" ca="1" si="3"/>
        <v>1.66E-4</v>
      </c>
      <c r="G26" s="40">
        <f ca="1">(F26*$E$21/100)</f>
        <v>0</v>
      </c>
    </row>
    <row r="27" spans="1:10" x14ac:dyDescent="0.2">
      <c r="F27">
        <f t="shared" ca="1" si="3"/>
        <v>1.8799999999999999E-4</v>
      </c>
      <c r="G27" s="40">
        <f t="shared" ca="1" si="4"/>
        <v>0</v>
      </c>
    </row>
    <row r="28" spans="1:10" x14ac:dyDescent="0.2">
      <c r="F28">
        <f t="shared" ca="1" si="3"/>
        <v>2.14E-4</v>
      </c>
      <c r="G28" s="40">
        <f t="shared" ca="1" si="4"/>
        <v>0</v>
      </c>
    </row>
    <row r="29" spans="1:10" x14ac:dyDescent="0.2">
      <c r="F29">
        <f t="shared" ca="1" si="3"/>
        <v>2.43E-4</v>
      </c>
      <c r="G29" s="40">
        <f t="shared" ca="1" si="4"/>
        <v>0</v>
      </c>
    </row>
    <row r="30" spans="1:10" x14ac:dyDescent="0.2">
      <c r="F30">
        <f t="shared" ca="1" si="3"/>
        <v>2.7600000000000004E-4</v>
      </c>
      <c r="G30" s="40">
        <f t="shared" ca="1" si="4"/>
        <v>0</v>
      </c>
    </row>
    <row r="31" spans="1:10" x14ac:dyDescent="0.2">
      <c r="F31">
        <f t="shared" ca="1" si="3"/>
        <v>3.1399999999999999E-4</v>
      </c>
      <c r="G31" s="40">
        <f t="shared" ca="1" si="4"/>
        <v>0</v>
      </c>
    </row>
    <row r="32" spans="1:10" x14ac:dyDescent="0.2">
      <c r="F32">
        <f t="shared" ca="1" si="3"/>
        <v>3.57E-4</v>
      </c>
      <c r="G32" s="40">
        <f t="shared" ca="1" si="4"/>
        <v>0</v>
      </c>
    </row>
    <row r="33" spans="1:7" x14ac:dyDescent="0.2">
      <c r="F33">
        <f t="shared" ca="1" si="3"/>
        <v>4.0500000000000003E-4</v>
      </c>
      <c r="G33" s="40">
        <f t="shared" ca="1" si="4"/>
        <v>0</v>
      </c>
    </row>
    <row r="34" spans="1:7" x14ac:dyDescent="0.2">
      <c r="F34">
        <f t="shared" ca="1" si="3"/>
        <v>4.6000000000000001E-4</v>
      </c>
      <c r="G34" s="40">
        <f t="shared" ca="1" si="4"/>
        <v>0</v>
      </c>
    </row>
    <row r="35" spans="1:7" x14ac:dyDescent="0.2">
      <c r="F35">
        <f t="shared" ca="1" si="3"/>
        <v>5.2300000000000003E-4</v>
      </c>
      <c r="G35" s="40">
        <f t="shared" ca="1" si="4"/>
        <v>0</v>
      </c>
    </row>
    <row r="36" spans="1:7" x14ac:dyDescent="0.2">
      <c r="F36">
        <f t="shared" ca="1" si="3"/>
        <v>5.9400000000000002E-4</v>
      </c>
      <c r="G36" s="40">
        <f t="shared" ca="1" si="4"/>
        <v>0</v>
      </c>
    </row>
    <row r="37" spans="1:7" x14ac:dyDescent="0.2">
      <c r="F37">
        <f t="shared" ca="1" si="3"/>
        <v>6.7500000000000004E-4</v>
      </c>
      <c r="G37" s="40">
        <f t="shared" ca="1" si="4"/>
        <v>0</v>
      </c>
    </row>
    <row r="38" spans="1:7" x14ac:dyDescent="0.2">
      <c r="F38">
        <f t="shared" ca="1" si="3"/>
        <v>7.67E-4</v>
      </c>
      <c r="G38" s="40">
        <f t="shared" ca="1" si="4"/>
        <v>0</v>
      </c>
    </row>
    <row r="39" spans="1:7" x14ac:dyDescent="0.2">
      <c r="F39">
        <f t="shared" ca="1" si="3"/>
        <v>8.7199999999999995E-4</v>
      </c>
      <c r="G39" s="40">
        <f t="shared" ca="1" si="4"/>
        <v>0</v>
      </c>
    </row>
    <row r="40" spans="1:7" x14ac:dyDescent="0.2">
      <c r="F40">
        <f t="shared" ca="1" si="3"/>
        <v>9.9099999999999991E-4</v>
      </c>
      <c r="G40" s="40">
        <f t="shared" ca="1" si="4"/>
        <v>0</v>
      </c>
    </row>
    <row r="41" spans="1:7" x14ac:dyDescent="0.2">
      <c r="F41">
        <f t="shared" ca="1" si="3"/>
        <v>1.1299999999999999E-3</v>
      </c>
      <c r="G41" s="40">
        <f t="shared" ca="1" si="4"/>
        <v>0</v>
      </c>
    </row>
    <row r="42" spans="1:7" x14ac:dyDescent="0.2">
      <c r="F42">
        <f t="shared" ca="1" si="3"/>
        <v>1.2800000000000001E-3</v>
      </c>
      <c r="G42" s="40">
        <f t="shared" ca="1" si="4"/>
        <v>0</v>
      </c>
    </row>
    <row r="43" spans="1:7" x14ac:dyDescent="0.2">
      <c r="F43">
        <f t="shared" ca="1" si="3"/>
        <v>1.4499999999999999E-3</v>
      </c>
      <c r="G43" s="40">
        <f t="shared" ca="1" si="4"/>
        <v>0</v>
      </c>
    </row>
    <row r="44" spans="1:7" x14ac:dyDescent="0.2">
      <c r="F44">
        <f t="shared" ca="1" si="3"/>
        <v>1.65E-3</v>
      </c>
      <c r="G44" s="40">
        <f t="shared" ca="1" si="4"/>
        <v>0</v>
      </c>
    </row>
    <row r="45" spans="1:7" x14ac:dyDescent="0.2">
      <c r="F45" s="50">
        <f t="shared" ca="1" si="3"/>
        <v>1.8799999999999999E-3</v>
      </c>
      <c r="G45" s="40">
        <f t="shared" ca="1" si="4"/>
        <v>0</v>
      </c>
    </row>
    <row r="46" spans="1:7" x14ac:dyDescent="0.2">
      <c r="F46" s="51">
        <f t="shared" ca="1" si="3"/>
        <v>2.1299999999999999E-3</v>
      </c>
      <c r="G46" s="40">
        <f t="shared" ca="1" si="4"/>
        <v>0</v>
      </c>
    </row>
    <row r="47" spans="1:7" x14ac:dyDescent="0.2">
      <c r="A47" t="s">
        <v>28</v>
      </c>
      <c r="D47" s="2" t="s">
        <v>29</v>
      </c>
      <c r="E47" s="14">
        <v>0.125</v>
      </c>
      <c r="F47">
        <f t="shared" ca="1" si="3"/>
        <v>2.4199999999999998E-3</v>
      </c>
      <c r="G47" s="40">
        <f t="shared" ca="1" si="4"/>
        <v>0</v>
      </c>
    </row>
    <row r="48" spans="1:7" x14ac:dyDescent="0.2">
      <c r="A48" t="s">
        <v>30</v>
      </c>
      <c r="D48" s="2" t="s">
        <v>31</v>
      </c>
      <c r="E48" s="14">
        <v>0.15</v>
      </c>
      <c r="F48">
        <f t="shared" ca="1" si="3"/>
        <v>2.7499999999999998E-3</v>
      </c>
      <c r="G48" s="40">
        <f t="shared" ca="1" si="4"/>
        <v>0</v>
      </c>
    </row>
    <row r="49" spans="1:7" x14ac:dyDescent="0.2">
      <c r="A49" t="s">
        <v>32</v>
      </c>
      <c r="D49" s="2" t="s">
        <v>33</v>
      </c>
      <c r="E49" s="14">
        <v>7.4999999999999997E-2</v>
      </c>
      <c r="F49">
        <f t="shared" ca="1" si="3"/>
        <v>3.1199999999999999E-3</v>
      </c>
      <c r="G49" s="40">
        <f t="shared" ca="1" si="4"/>
        <v>0</v>
      </c>
    </row>
    <row r="50" spans="1:7" x14ac:dyDescent="0.2">
      <c r="A50" t="s">
        <v>34</v>
      </c>
      <c r="C50" t="s">
        <v>35</v>
      </c>
      <c r="E50" s="18">
        <f>E48/E49</f>
        <v>2</v>
      </c>
      <c r="F50">
        <f t="shared" ca="1" si="3"/>
        <v>3.5499999999999998E-3</v>
      </c>
      <c r="G50" s="40">
        <f t="shared" ca="1" si="4"/>
        <v>0</v>
      </c>
    </row>
    <row r="51" spans="1:7" x14ac:dyDescent="0.2">
      <c r="A51" t="s">
        <v>36</v>
      </c>
      <c r="C51" t="s">
        <v>37</v>
      </c>
      <c r="E51" s="18">
        <f>SQRT(E52/E53)</f>
        <v>1.3416407864998738</v>
      </c>
      <c r="F51">
        <f t="shared" ca="1" si="3"/>
        <v>4.0300000000000006E-3</v>
      </c>
      <c r="G51" s="40">
        <f t="shared" ca="1" si="4"/>
        <v>0</v>
      </c>
    </row>
    <row r="52" spans="1:7" x14ac:dyDescent="0.2">
      <c r="A52" t="s">
        <v>38</v>
      </c>
      <c r="D52" s="2" t="s">
        <v>39</v>
      </c>
      <c r="E52" s="14">
        <v>0.18</v>
      </c>
      <c r="F52">
        <f t="shared" ca="1" si="3"/>
        <v>4.5799999999999999E-3</v>
      </c>
      <c r="G52" s="40">
        <f t="shared" ca="1" si="4"/>
        <v>0</v>
      </c>
    </row>
    <row r="53" spans="1:7" x14ac:dyDescent="0.2">
      <c r="D53" s="2" t="s">
        <v>40</v>
      </c>
      <c r="E53" s="14">
        <v>0.1</v>
      </c>
      <c r="F53">
        <f t="shared" ca="1" si="3"/>
        <v>5.2100000000000002E-3</v>
      </c>
      <c r="G53" s="40">
        <f t="shared" ca="1" si="4"/>
        <v>0</v>
      </c>
    </row>
    <row r="54" spans="1:7" x14ac:dyDescent="0.2">
      <c r="F54">
        <f t="shared" ca="1" si="3"/>
        <v>5.9199999999999999E-3</v>
      </c>
      <c r="G54" s="40">
        <f t="shared" ca="1" si="4"/>
        <v>0</v>
      </c>
    </row>
    <row r="55" spans="1:7" x14ac:dyDescent="0.2">
      <c r="A55" t="s">
        <v>71</v>
      </c>
      <c r="B55" t="s">
        <v>69</v>
      </c>
      <c r="C55" t="s">
        <v>70</v>
      </c>
      <c r="F55">
        <f t="shared" ca="1" si="3"/>
        <v>6.7199999999999994E-3</v>
      </c>
      <c r="G55" s="40">
        <f t="shared" ca="1" si="4"/>
        <v>0</v>
      </c>
    </row>
    <row r="56" spans="1:7" x14ac:dyDescent="0.2">
      <c r="A56">
        <f>B56/1000</f>
        <v>9.9500000000000006E-5</v>
      </c>
      <c r="B56">
        <v>9.9500000000000005E-2</v>
      </c>
      <c r="C56">
        <v>0</v>
      </c>
      <c r="F56">
        <f t="shared" ca="1" si="3"/>
        <v>7.6400000000000001E-3</v>
      </c>
      <c r="G56" s="40">
        <f t="shared" ca="1" si="4"/>
        <v>0</v>
      </c>
    </row>
    <row r="57" spans="1:7" x14ac:dyDescent="0.2">
      <c r="A57">
        <f t="shared" ref="A57:A120" si="5">B57/1000</f>
        <v>1.1300000000000001E-4</v>
      </c>
      <c r="B57">
        <v>0.113</v>
      </c>
      <c r="C57">
        <v>0</v>
      </c>
      <c r="F57">
        <f t="shared" ca="1" si="3"/>
        <v>8.6800000000000002E-3</v>
      </c>
      <c r="G57" s="40">
        <f t="shared" ca="1" si="4"/>
        <v>0</v>
      </c>
    </row>
    <row r="58" spans="1:7" x14ac:dyDescent="0.2">
      <c r="A58">
        <f t="shared" si="5"/>
        <v>1.2799999999999999E-4</v>
      </c>
      <c r="B58">
        <v>0.128</v>
      </c>
      <c r="C58">
        <v>0</v>
      </c>
      <c r="F58">
        <f t="shared" ca="1" si="3"/>
        <v>9.859999999999999E-3</v>
      </c>
      <c r="G58" s="40">
        <f t="shared" ca="1" si="4"/>
        <v>0</v>
      </c>
    </row>
    <row r="59" spans="1:7" x14ac:dyDescent="0.2">
      <c r="A59">
        <f t="shared" si="5"/>
        <v>1.46E-4</v>
      </c>
      <c r="B59">
        <v>0.14599999999999999</v>
      </c>
      <c r="C59">
        <v>0</v>
      </c>
      <c r="F59">
        <f t="shared" ca="1" si="3"/>
        <v>1.12E-2</v>
      </c>
      <c r="G59" s="40">
        <f t="shared" ca="1" si="4"/>
        <v>0</v>
      </c>
    </row>
    <row r="60" spans="1:7" x14ac:dyDescent="0.2">
      <c r="A60">
        <f t="shared" si="5"/>
        <v>1.66E-4</v>
      </c>
      <c r="B60">
        <v>0.16600000000000001</v>
      </c>
      <c r="C60">
        <v>0</v>
      </c>
      <c r="F60">
        <f t="shared" ca="1" si="3"/>
        <v>1.2699999999999999E-2</v>
      </c>
      <c r="G60" s="40">
        <f t="shared" ca="1" si="4"/>
        <v>0</v>
      </c>
    </row>
    <row r="61" spans="1:7" x14ac:dyDescent="0.2">
      <c r="A61">
        <f t="shared" si="5"/>
        <v>1.8799999999999999E-4</v>
      </c>
      <c r="B61">
        <v>0.188</v>
      </c>
      <c r="C61">
        <v>0</v>
      </c>
      <c r="F61">
        <f t="shared" ca="1" si="3"/>
        <v>1.4500000000000001E-2</v>
      </c>
      <c r="G61" s="40">
        <f t="shared" ca="1" si="4"/>
        <v>0</v>
      </c>
    </row>
    <row r="62" spans="1:7" x14ac:dyDescent="0.2">
      <c r="A62">
        <f t="shared" si="5"/>
        <v>2.14E-4</v>
      </c>
      <c r="B62">
        <v>0.214</v>
      </c>
      <c r="C62">
        <v>0</v>
      </c>
      <c r="F62">
        <f t="shared" ca="1" si="3"/>
        <v>1.6399999999999998E-2</v>
      </c>
      <c r="G62" s="40">
        <f t="shared" ca="1" si="4"/>
        <v>0</v>
      </c>
    </row>
    <row r="63" spans="1:7" x14ac:dyDescent="0.2">
      <c r="A63">
        <f t="shared" si="5"/>
        <v>2.43E-4</v>
      </c>
      <c r="B63">
        <v>0.24299999999999999</v>
      </c>
      <c r="C63">
        <v>0</v>
      </c>
      <c r="F63">
        <f t="shared" ca="1" si="3"/>
        <v>1.8699999999999998E-2</v>
      </c>
      <c r="G63" s="40">
        <f t="shared" ca="1" si="4"/>
        <v>0</v>
      </c>
    </row>
    <row r="64" spans="1:7" x14ac:dyDescent="0.2">
      <c r="A64">
        <f t="shared" si="5"/>
        <v>2.7600000000000004E-4</v>
      </c>
      <c r="B64">
        <v>0.27600000000000002</v>
      </c>
      <c r="C64">
        <v>0</v>
      </c>
      <c r="F64">
        <f t="shared" ca="1" si="3"/>
        <v>2.12E-2</v>
      </c>
      <c r="G64" s="40">
        <f t="shared" ca="1" si="4"/>
        <v>0</v>
      </c>
    </row>
    <row r="65" spans="1:7" x14ac:dyDescent="0.2">
      <c r="A65">
        <f t="shared" si="5"/>
        <v>3.1399999999999999E-4</v>
      </c>
      <c r="B65">
        <v>0.314</v>
      </c>
      <c r="C65">
        <v>0</v>
      </c>
      <c r="F65">
        <f t="shared" ca="1" si="3"/>
        <v>2.41E-2</v>
      </c>
      <c r="G65" s="40">
        <f t="shared" ca="1" si="4"/>
        <v>0</v>
      </c>
    </row>
    <row r="66" spans="1:7" x14ac:dyDescent="0.2">
      <c r="A66">
        <f t="shared" si="5"/>
        <v>3.57E-4</v>
      </c>
      <c r="B66">
        <v>0.35699999999999998</v>
      </c>
      <c r="C66">
        <v>0</v>
      </c>
      <c r="F66">
        <f t="shared" ca="1" si="3"/>
        <v>2.7399999999999997E-2</v>
      </c>
      <c r="G66" s="40">
        <f t="shared" ca="1" si="4"/>
        <v>0</v>
      </c>
    </row>
    <row r="67" spans="1:7" x14ac:dyDescent="0.2">
      <c r="A67">
        <f t="shared" si="5"/>
        <v>4.0500000000000003E-4</v>
      </c>
      <c r="B67">
        <v>0.40500000000000003</v>
      </c>
      <c r="C67">
        <v>0</v>
      </c>
      <c r="F67">
        <f t="shared" ca="1" si="3"/>
        <v>3.1100000000000003E-2</v>
      </c>
      <c r="G67" s="40">
        <f t="shared" ca="1" si="4"/>
        <v>0</v>
      </c>
    </row>
    <row r="68" spans="1:7" x14ac:dyDescent="0.2">
      <c r="A68">
        <f t="shared" si="5"/>
        <v>4.6000000000000001E-4</v>
      </c>
      <c r="B68">
        <v>0.46</v>
      </c>
      <c r="C68">
        <v>0</v>
      </c>
      <c r="F68">
        <f t="shared" ca="1" si="3"/>
        <v>3.5299999999999998E-2</v>
      </c>
      <c r="G68" s="40">
        <f t="shared" ca="1" si="4"/>
        <v>0</v>
      </c>
    </row>
    <row r="69" spans="1:7" x14ac:dyDescent="0.2">
      <c r="A69">
        <f t="shared" si="5"/>
        <v>5.2300000000000003E-4</v>
      </c>
      <c r="B69">
        <v>0.52300000000000002</v>
      </c>
      <c r="C69">
        <v>0</v>
      </c>
      <c r="F69">
        <f t="shared" ca="1" si="3"/>
        <v>4.0100000000000004E-2</v>
      </c>
      <c r="G69" s="40">
        <f t="shared" ca="1" si="4"/>
        <v>0</v>
      </c>
    </row>
    <row r="70" spans="1:7" x14ac:dyDescent="0.2">
      <c r="A70">
        <f t="shared" si="5"/>
        <v>5.9400000000000002E-4</v>
      </c>
      <c r="B70">
        <v>0.59399999999999997</v>
      </c>
      <c r="C70">
        <v>0</v>
      </c>
      <c r="F70">
        <f t="shared" ca="1" si="3"/>
        <v>4.5600000000000002E-2</v>
      </c>
      <c r="G70" s="40">
        <f t="shared" ca="1" si="4"/>
        <v>0</v>
      </c>
    </row>
    <row r="71" spans="1:7" x14ac:dyDescent="0.2">
      <c r="A71">
        <f t="shared" si="5"/>
        <v>6.7500000000000004E-4</v>
      </c>
      <c r="B71">
        <v>0.67500000000000004</v>
      </c>
      <c r="C71">
        <v>0</v>
      </c>
      <c r="F71">
        <f t="shared" ca="1" si="3"/>
        <v>5.1799999999999999E-2</v>
      </c>
      <c r="G71" s="40">
        <f t="shared" ca="1" si="4"/>
        <v>0</v>
      </c>
    </row>
    <row r="72" spans="1:7" x14ac:dyDescent="0.2">
      <c r="A72">
        <f t="shared" si="5"/>
        <v>7.67E-4</v>
      </c>
      <c r="B72">
        <v>0.76700000000000002</v>
      </c>
      <c r="C72">
        <v>0</v>
      </c>
      <c r="F72">
        <f t="shared" ca="1" si="3"/>
        <v>5.8900000000000001E-2</v>
      </c>
      <c r="G72" s="40">
        <f t="shared" ca="1" si="4"/>
        <v>0</v>
      </c>
    </row>
    <row r="73" spans="1:7" x14ac:dyDescent="0.2">
      <c r="A73">
        <f t="shared" si="5"/>
        <v>8.7199999999999995E-4</v>
      </c>
      <c r="B73">
        <v>0.872</v>
      </c>
      <c r="C73">
        <v>0</v>
      </c>
      <c r="F73">
        <f t="shared" ca="1" si="3"/>
        <v>6.6900000000000001E-2</v>
      </c>
      <c r="G73" s="40">
        <f t="shared" ca="1" si="4"/>
        <v>0</v>
      </c>
    </row>
    <row r="74" spans="1:7" x14ac:dyDescent="0.2">
      <c r="A74">
        <f t="shared" si="5"/>
        <v>9.9099999999999991E-4</v>
      </c>
      <c r="B74">
        <v>0.99099999999999999</v>
      </c>
      <c r="C74">
        <v>0</v>
      </c>
      <c r="G74" s="40">
        <f t="shared" si="4"/>
        <v>0</v>
      </c>
    </row>
    <row r="75" spans="1:7" x14ac:dyDescent="0.2">
      <c r="A75">
        <f t="shared" si="5"/>
        <v>1.1299999999999999E-3</v>
      </c>
      <c r="B75">
        <v>1.1299999999999999</v>
      </c>
      <c r="C75">
        <v>0</v>
      </c>
      <c r="G75" s="40">
        <f t="shared" si="4"/>
        <v>0</v>
      </c>
    </row>
    <row r="76" spans="1:7" x14ac:dyDescent="0.2">
      <c r="A76">
        <f t="shared" si="5"/>
        <v>1.2800000000000001E-3</v>
      </c>
      <c r="B76">
        <v>1.28</v>
      </c>
      <c r="C76">
        <v>0.13</v>
      </c>
      <c r="D76">
        <f>C75+C76</f>
        <v>0.13</v>
      </c>
      <c r="E76" s="40">
        <f>(D76*$E$21/100)</f>
        <v>5.0974225940166581E-2</v>
      </c>
      <c r="G76" s="40">
        <f t="shared" si="4"/>
        <v>0</v>
      </c>
    </row>
    <row r="77" spans="1:7" x14ac:dyDescent="0.2">
      <c r="A77">
        <f t="shared" si="5"/>
        <v>1.4499999999999999E-3</v>
      </c>
      <c r="B77">
        <v>1.45</v>
      </c>
      <c r="C77">
        <v>0.3</v>
      </c>
      <c r="D77">
        <f>D76+C77</f>
        <v>0.43</v>
      </c>
      <c r="E77" s="40">
        <f t="shared" ref="E77:E135" si="6">(D77*$E$21/100)</f>
        <v>0.16860705503285867</v>
      </c>
      <c r="G77" s="40">
        <f t="shared" si="4"/>
        <v>0</v>
      </c>
    </row>
    <row r="78" spans="1:7" x14ac:dyDescent="0.2">
      <c r="A78">
        <f t="shared" si="5"/>
        <v>1.65E-3</v>
      </c>
      <c r="B78">
        <v>1.65</v>
      </c>
      <c r="C78">
        <v>0.49</v>
      </c>
      <c r="D78">
        <f>D77+C78</f>
        <v>0.91999999999999993</v>
      </c>
      <c r="E78" s="40">
        <f t="shared" si="6"/>
        <v>0.36074067588425579</v>
      </c>
      <c r="G78" s="40">
        <f t="shared" si="4"/>
        <v>0</v>
      </c>
    </row>
    <row r="79" spans="1:7" x14ac:dyDescent="0.2">
      <c r="A79" s="50">
        <f t="shared" si="5"/>
        <v>1.8799999999999999E-3</v>
      </c>
      <c r="B79" s="50">
        <v>1.88</v>
      </c>
      <c r="C79" s="50">
        <v>0.67</v>
      </c>
      <c r="D79" s="50">
        <f t="shared" ref="D79:D135" si="7">D78+C79</f>
        <v>1.5899999999999999</v>
      </c>
      <c r="E79" s="40">
        <f t="shared" si="6"/>
        <v>0.62345399419126812</v>
      </c>
      <c r="G79" s="40">
        <f t="shared" si="4"/>
        <v>0</v>
      </c>
    </row>
    <row r="80" spans="1:7" x14ac:dyDescent="0.2">
      <c r="A80" s="51">
        <f t="shared" si="5"/>
        <v>2.1299999999999999E-3</v>
      </c>
      <c r="B80" s="51">
        <v>2.13</v>
      </c>
      <c r="C80" s="51">
        <v>0.83</v>
      </c>
      <c r="D80" s="51">
        <f t="shared" si="7"/>
        <v>2.42</v>
      </c>
      <c r="E80" s="40">
        <f>(D80*$E$21/100)</f>
        <v>0.94890482134771625</v>
      </c>
      <c r="G80" s="40">
        <f t="shared" si="4"/>
        <v>0</v>
      </c>
    </row>
    <row r="81" spans="1:7" x14ac:dyDescent="0.2">
      <c r="A81">
        <f t="shared" si="5"/>
        <v>2.4199999999999998E-3</v>
      </c>
      <c r="B81">
        <v>2.42</v>
      </c>
      <c r="C81">
        <v>0.99</v>
      </c>
      <c r="D81">
        <f t="shared" si="7"/>
        <v>3.41</v>
      </c>
      <c r="E81" s="40">
        <f t="shared" si="6"/>
        <v>1.3370931573536005</v>
      </c>
      <c r="G81" s="40">
        <f t="shared" si="4"/>
        <v>0</v>
      </c>
    </row>
    <row r="82" spans="1:7" x14ac:dyDescent="0.2">
      <c r="A82">
        <f t="shared" si="5"/>
        <v>2.7499999999999998E-3</v>
      </c>
      <c r="B82">
        <v>2.75</v>
      </c>
      <c r="C82">
        <v>1.17</v>
      </c>
      <c r="D82">
        <f t="shared" si="7"/>
        <v>4.58</v>
      </c>
      <c r="E82" s="40">
        <f t="shared" si="6"/>
        <v>1.7958611908150997</v>
      </c>
    </row>
    <row r="83" spans="1:7" x14ac:dyDescent="0.2">
      <c r="A83">
        <f t="shared" si="5"/>
        <v>3.1199999999999999E-3</v>
      </c>
      <c r="B83">
        <v>3.12</v>
      </c>
      <c r="C83">
        <v>1.4</v>
      </c>
      <c r="D83">
        <f t="shared" si="7"/>
        <v>5.98</v>
      </c>
      <c r="E83" s="40">
        <f t="shared" si="6"/>
        <v>2.3448143932476628</v>
      </c>
    </row>
    <row r="84" spans="1:7" x14ac:dyDescent="0.2">
      <c r="A84">
        <f t="shared" si="5"/>
        <v>3.5499999999999998E-3</v>
      </c>
      <c r="B84">
        <v>3.55</v>
      </c>
      <c r="C84">
        <v>1.7</v>
      </c>
      <c r="D84">
        <f t="shared" si="7"/>
        <v>7.6800000000000006</v>
      </c>
      <c r="E84" s="40">
        <f t="shared" si="6"/>
        <v>3.0114004247729178</v>
      </c>
    </row>
    <row r="85" spans="1:7" x14ac:dyDescent="0.2">
      <c r="A85">
        <f t="shared" si="5"/>
        <v>4.0300000000000006E-3</v>
      </c>
      <c r="B85">
        <v>4.03</v>
      </c>
      <c r="C85">
        <v>2.0499999999999998</v>
      </c>
      <c r="D85">
        <f t="shared" si="7"/>
        <v>9.73</v>
      </c>
      <c r="E85" s="40">
        <f t="shared" si="6"/>
        <v>3.8152247569063142</v>
      </c>
    </row>
    <row r="86" spans="1:7" x14ac:dyDescent="0.2">
      <c r="A86">
        <f t="shared" si="5"/>
        <v>4.5799999999999999E-3</v>
      </c>
      <c r="B86">
        <v>4.58</v>
      </c>
      <c r="C86">
        <v>2.4300000000000002</v>
      </c>
      <c r="D86">
        <f t="shared" si="7"/>
        <v>12.16</v>
      </c>
      <c r="E86" s="40">
        <f t="shared" si="6"/>
        <v>4.7680506725571199</v>
      </c>
    </row>
    <row r="87" spans="1:7" x14ac:dyDescent="0.2">
      <c r="A87">
        <f t="shared" si="5"/>
        <v>5.2100000000000002E-3</v>
      </c>
      <c r="B87">
        <v>5.21</v>
      </c>
      <c r="C87">
        <v>2.86</v>
      </c>
      <c r="D87">
        <f t="shared" si="7"/>
        <v>15.02</v>
      </c>
      <c r="E87" s="40">
        <f t="shared" si="6"/>
        <v>5.8894836432407853</v>
      </c>
    </row>
    <row r="88" spans="1:7" x14ac:dyDescent="0.2">
      <c r="A88">
        <f t="shared" si="5"/>
        <v>5.9199999999999999E-3</v>
      </c>
      <c r="B88">
        <v>5.92</v>
      </c>
      <c r="C88">
        <v>3.31</v>
      </c>
      <c r="D88">
        <f t="shared" si="7"/>
        <v>18.329999999999998</v>
      </c>
      <c r="E88" s="40">
        <f t="shared" si="6"/>
        <v>7.1873658575634876</v>
      </c>
    </row>
    <row r="89" spans="1:7" x14ac:dyDescent="0.2">
      <c r="A89">
        <f t="shared" si="5"/>
        <v>6.7199999999999994E-3</v>
      </c>
      <c r="B89">
        <v>6.72</v>
      </c>
      <c r="C89">
        <v>3.8</v>
      </c>
      <c r="D89">
        <f t="shared" si="7"/>
        <v>22.13</v>
      </c>
      <c r="E89" s="40">
        <f t="shared" si="6"/>
        <v>8.6773816927375869</v>
      </c>
    </row>
    <row r="90" spans="1:7" x14ac:dyDescent="0.2">
      <c r="A90">
        <f t="shared" si="5"/>
        <v>7.6400000000000001E-3</v>
      </c>
      <c r="B90">
        <v>7.64</v>
      </c>
      <c r="C90">
        <v>4.32</v>
      </c>
      <c r="D90">
        <f t="shared" si="7"/>
        <v>26.45</v>
      </c>
      <c r="E90" s="40">
        <f t="shared" si="6"/>
        <v>10.371294431672354</v>
      </c>
    </row>
    <row r="91" spans="1:7" x14ac:dyDescent="0.2">
      <c r="A91">
        <f t="shared" si="5"/>
        <v>8.6800000000000002E-3</v>
      </c>
      <c r="B91">
        <v>8.68</v>
      </c>
      <c r="C91">
        <v>4.84</v>
      </c>
      <c r="D91">
        <f t="shared" si="7"/>
        <v>31.29</v>
      </c>
      <c r="E91" s="40">
        <f t="shared" si="6"/>
        <v>12.269104074367785</v>
      </c>
    </row>
    <row r="92" spans="1:7" x14ac:dyDescent="0.2">
      <c r="A92">
        <f t="shared" si="5"/>
        <v>9.859999999999999E-3</v>
      </c>
      <c r="B92">
        <v>9.86</v>
      </c>
      <c r="C92">
        <v>5.33</v>
      </c>
      <c r="D92">
        <f t="shared" si="7"/>
        <v>36.619999999999997</v>
      </c>
      <c r="E92" s="40">
        <f t="shared" si="6"/>
        <v>14.359047337914614</v>
      </c>
    </row>
    <row r="93" spans="1:7" x14ac:dyDescent="0.2">
      <c r="A93">
        <f t="shared" si="5"/>
        <v>1.12E-2</v>
      </c>
      <c r="B93">
        <v>11.2</v>
      </c>
      <c r="C93">
        <v>5.78</v>
      </c>
      <c r="D93">
        <f t="shared" si="7"/>
        <v>42.4</v>
      </c>
      <c r="E93" s="40">
        <f t="shared" si="6"/>
        <v>16.625439845100484</v>
      </c>
    </row>
    <row r="94" spans="1:7" x14ac:dyDescent="0.2">
      <c r="A94">
        <f t="shared" si="5"/>
        <v>1.2699999999999999E-2</v>
      </c>
      <c r="B94">
        <v>12.7</v>
      </c>
      <c r="C94">
        <v>6.13</v>
      </c>
      <c r="D94">
        <f t="shared" si="7"/>
        <v>48.53</v>
      </c>
      <c r="E94" s="40">
        <f t="shared" si="6"/>
        <v>19.029070652894493</v>
      </c>
    </row>
    <row r="95" spans="1:7" x14ac:dyDescent="0.2">
      <c r="A95">
        <f t="shared" si="5"/>
        <v>1.4500000000000001E-2</v>
      </c>
      <c r="B95">
        <v>14.5</v>
      </c>
      <c r="C95">
        <v>6.36</v>
      </c>
      <c r="D95">
        <f t="shared" si="7"/>
        <v>54.89</v>
      </c>
      <c r="E95" s="40">
        <f t="shared" si="6"/>
        <v>21.522886629659567</v>
      </c>
    </row>
    <row r="96" spans="1:7" x14ac:dyDescent="0.2">
      <c r="A96">
        <f t="shared" si="5"/>
        <v>1.6399999999999998E-2</v>
      </c>
      <c r="B96">
        <v>16.399999999999999</v>
      </c>
      <c r="C96">
        <v>6.43</v>
      </c>
      <c r="D96">
        <f t="shared" si="7"/>
        <v>61.32</v>
      </c>
      <c r="E96" s="40">
        <f t="shared" si="6"/>
        <v>24.044150266546268</v>
      </c>
    </row>
    <row r="97" spans="1:5" x14ac:dyDescent="0.2">
      <c r="A97">
        <f t="shared" si="5"/>
        <v>1.8699999999999998E-2</v>
      </c>
      <c r="B97">
        <v>18.7</v>
      </c>
      <c r="C97">
        <v>6.32</v>
      </c>
      <c r="D97">
        <f t="shared" si="7"/>
        <v>67.64</v>
      </c>
      <c r="E97" s="40">
        <f t="shared" si="6"/>
        <v>26.522281866098979</v>
      </c>
    </row>
    <row r="98" spans="1:5" x14ac:dyDescent="0.2">
      <c r="A98">
        <f t="shared" si="5"/>
        <v>2.12E-2</v>
      </c>
      <c r="B98">
        <v>21.2</v>
      </c>
      <c r="C98">
        <v>6.01</v>
      </c>
      <c r="D98">
        <f t="shared" si="7"/>
        <v>73.650000000000006</v>
      </c>
      <c r="E98" s="40">
        <f t="shared" si="6"/>
        <v>28.878859542255913</v>
      </c>
    </row>
    <row r="99" spans="1:5" x14ac:dyDescent="0.2">
      <c r="A99">
        <f t="shared" si="5"/>
        <v>2.41E-2</v>
      </c>
      <c r="B99">
        <v>24.1</v>
      </c>
      <c r="C99">
        <v>5.52</v>
      </c>
      <c r="D99">
        <f t="shared" si="7"/>
        <v>79.17</v>
      </c>
      <c r="E99" s="40">
        <f t="shared" si="6"/>
        <v>31.043303597561447</v>
      </c>
    </row>
    <row r="100" spans="1:5" x14ac:dyDescent="0.2">
      <c r="A100">
        <f t="shared" si="5"/>
        <v>2.7399999999999997E-2</v>
      </c>
      <c r="B100">
        <v>27.4</v>
      </c>
      <c r="C100">
        <v>4.88</v>
      </c>
      <c r="D100">
        <f t="shared" si="7"/>
        <v>84.05</v>
      </c>
      <c r="E100" s="40">
        <f t="shared" si="6"/>
        <v>32.956797617469235</v>
      </c>
    </row>
    <row r="101" spans="1:5" x14ac:dyDescent="0.2">
      <c r="A101">
        <f t="shared" si="5"/>
        <v>3.1100000000000003E-2</v>
      </c>
      <c r="B101">
        <v>31.1</v>
      </c>
      <c r="C101">
        <v>4.1500000000000004</v>
      </c>
      <c r="D101">
        <f t="shared" si="7"/>
        <v>88.2</v>
      </c>
      <c r="E101" s="40">
        <f t="shared" si="6"/>
        <v>34.58405175325148</v>
      </c>
    </row>
    <row r="102" spans="1:5" x14ac:dyDescent="0.2">
      <c r="A102">
        <f t="shared" si="5"/>
        <v>3.5299999999999998E-2</v>
      </c>
      <c r="B102">
        <v>35.299999999999997</v>
      </c>
      <c r="C102">
        <v>3.39</v>
      </c>
      <c r="D102">
        <f t="shared" si="7"/>
        <v>91.59</v>
      </c>
      <c r="E102" s="40">
        <f t="shared" si="6"/>
        <v>35.913302721998903</v>
      </c>
    </row>
    <row r="103" spans="1:5" x14ac:dyDescent="0.2">
      <c r="A103">
        <f t="shared" si="5"/>
        <v>4.0100000000000004E-2</v>
      </c>
      <c r="B103">
        <v>40.1</v>
      </c>
      <c r="C103">
        <v>2.65</v>
      </c>
      <c r="D103">
        <f t="shared" si="7"/>
        <v>94.240000000000009</v>
      </c>
      <c r="E103" s="40">
        <f t="shared" si="6"/>
        <v>36.952392712317682</v>
      </c>
    </row>
    <row r="104" spans="1:5" x14ac:dyDescent="0.2">
      <c r="A104">
        <f t="shared" si="5"/>
        <v>4.5600000000000002E-2</v>
      </c>
      <c r="B104">
        <v>45.6</v>
      </c>
      <c r="C104">
        <v>1.99</v>
      </c>
      <c r="D104">
        <f t="shared" si="7"/>
        <v>96.23</v>
      </c>
      <c r="E104" s="40">
        <f t="shared" si="6"/>
        <v>37.732690478632541</v>
      </c>
    </row>
    <row r="105" spans="1:5" x14ac:dyDescent="0.2">
      <c r="A105">
        <f t="shared" si="5"/>
        <v>5.1799999999999999E-2</v>
      </c>
      <c r="B105">
        <v>51.8</v>
      </c>
      <c r="C105">
        <v>1.42</v>
      </c>
      <c r="D105">
        <f t="shared" si="7"/>
        <v>97.65</v>
      </c>
      <c r="E105" s="40">
        <f t="shared" si="6"/>
        <v>38.289485869671282</v>
      </c>
    </row>
    <row r="106" spans="1:5" x14ac:dyDescent="0.2">
      <c r="A106">
        <f t="shared" si="5"/>
        <v>5.8900000000000001E-2</v>
      </c>
      <c r="B106">
        <v>58.9</v>
      </c>
      <c r="C106">
        <v>0.97</v>
      </c>
      <c r="D106">
        <f t="shared" si="7"/>
        <v>98.62</v>
      </c>
      <c r="E106" s="40">
        <f t="shared" si="6"/>
        <v>38.669832017070988</v>
      </c>
    </row>
    <row r="107" spans="1:5" x14ac:dyDescent="0.2">
      <c r="A107">
        <f t="shared" si="5"/>
        <v>6.6900000000000001E-2</v>
      </c>
      <c r="B107">
        <v>66.900000000000006</v>
      </c>
      <c r="C107">
        <v>0.63</v>
      </c>
      <c r="D107">
        <f t="shared" si="7"/>
        <v>99.25</v>
      </c>
      <c r="E107" s="40">
        <f t="shared" si="6"/>
        <v>38.916860958165643</v>
      </c>
    </row>
    <row r="108" spans="1:5" x14ac:dyDescent="0.2">
      <c r="A108" s="49">
        <f t="shared" si="5"/>
        <v>7.5999999999999998E-2</v>
      </c>
      <c r="B108" s="49">
        <v>76</v>
      </c>
      <c r="C108" s="49">
        <v>0.38</v>
      </c>
      <c r="D108" s="49">
        <f t="shared" si="7"/>
        <v>99.63</v>
      </c>
      <c r="E108" s="40">
        <f t="shared" si="6"/>
        <v>39.065862541683046</v>
      </c>
    </row>
    <row r="109" spans="1:5" x14ac:dyDescent="0.2">
      <c r="A109" s="49">
        <f t="shared" si="5"/>
        <v>8.6400000000000005E-2</v>
      </c>
      <c r="B109" s="49">
        <v>86.4</v>
      </c>
      <c r="C109" s="49">
        <v>0.22</v>
      </c>
      <c r="D109" s="49">
        <f t="shared" si="7"/>
        <v>99.85</v>
      </c>
      <c r="E109" s="40">
        <f t="shared" si="6"/>
        <v>39.152126616351019</v>
      </c>
    </row>
    <row r="110" spans="1:5" x14ac:dyDescent="0.2">
      <c r="A110" s="49">
        <f t="shared" si="5"/>
        <v>9.8099999999999993E-2</v>
      </c>
      <c r="B110" s="49">
        <v>98.1</v>
      </c>
      <c r="C110" s="49">
        <v>0.11</v>
      </c>
      <c r="D110" s="49">
        <f t="shared" si="7"/>
        <v>99.96</v>
      </c>
      <c r="E110" s="40">
        <f t="shared" si="6"/>
        <v>39.195258653685002</v>
      </c>
    </row>
    <row r="111" spans="1:5" x14ac:dyDescent="0.2">
      <c r="A111" s="49">
        <f t="shared" si="5"/>
        <v>0.111</v>
      </c>
      <c r="B111" s="49">
        <v>111</v>
      </c>
      <c r="C111" s="49">
        <v>0.03</v>
      </c>
      <c r="D111" s="49">
        <f t="shared" si="7"/>
        <v>99.99</v>
      </c>
      <c r="E111" s="40">
        <f t="shared" si="6"/>
        <v>39.20702193659428</v>
      </c>
    </row>
    <row r="112" spans="1:5" x14ac:dyDescent="0.2">
      <c r="A112" s="49">
        <f t="shared" si="5"/>
        <v>0.127</v>
      </c>
      <c r="B112" s="49">
        <v>127</v>
      </c>
      <c r="C112" s="49">
        <v>0</v>
      </c>
      <c r="D112" s="49">
        <f t="shared" si="7"/>
        <v>99.99</v>
      </c>
      <c r="E112" s="40">
        <f t="shared" si="6"/>
        <v>39.20702193659428</v>
      </c>
    </row>
    <row r="113" spans="1:5" x14ac:dyDescent="0.2">
      <c r="A113" s="49">
        <f t="shared" si="5"/>
        <v>0.14399999999999999</v>
      </c>
      <c r="B113" s="49">
        <v>144</v>
      </c>
      <c r="C113" s="49">
        <v>0</v>
      </c>
      <c r="D113" s="49">
        <f t="shared" si="7"/>
        <v>99.99</v>
      </c>
      <c r="E113" s="40">
        <f t="shared" si="6"/>
        <v>39.20702193659428</v>
      </c>
    </row>
    <row r="114" spans="1:5" x14ac:dyDescent="0.2">
      <c r="A114" s="49">
        <f t="shared" si="5"/>
        <v>0.16300000000000001</v>
      </c>
      <c r="B114" s="49">
        <v>163</v>
      </c>
      <c r="C114" s="49">
        <v>0</v>
      </c>
      <c r="D114" s="49">
        <f t="shared" si="7"/>
        <v>99.99</v>
      </c>
      <c r="E114" s="40">
        <f t="shared" si="6"/>
        <v>39.20702193659428</v>
      </c>
    </row>
    <row r="115" spans="1:5" x14ac:dyDescent="0.2">
      <c r="A115" s="49">
        <f t="shared" si="5"/>
        <v>0.186</v>
      </c>
      <c r="B115" s="49">
        <v>186</v>
      </c>
      <c r="C115" s="49">
        <v>0</v>
      </c>
      <c r="D115" s="49">
        <f t="shared" si="7"/>
        <v>99.99</v>
      </c>
      <c r="E115" s="40">
        <f t="shared" si="6"/>
        <v>39.20702193659428</v>
      </c>
    </row>
    <row r="116" spans="1:5" x14ac:dyDescent="0.2">
      <c r="A116" s="49">
        <f t="shared" si="5"/>
        <v>0.21099999999999999</v>
      </c>
      <c r="B116" s="49">
        <v>211</v>
      </c>
      <c r="C116" s="49">
        <v>0</v>
      </c>
      <c r="D116" s="49">
        <f t="shared" si="7"/>
        <v>99.99</v>
      </c>
      <c r="E116" s="40">
        <f t="shared" si="6"/>
        <v>39.20702193659428</v>
      </c>
    </row>
    <row r="117" spans="1:5" x14ac:dyDescent="0.2">
      <c r="A117" s="49">
        <f t="shared" si="5"/>
        <v>0.24</v>
      </c>
      <c r="B117" s="49">
        <v>240</v>
      </c>
      <c r="C117" s="49">
        <v>0</v>
      </c>
      <c r="D117" s="49">
        <f t="shared" si="7"/>
        <v>99.99</v>
      </c>
      <c r="E117" s="40">
        <f t="shared" si="6"/>
        <v>39.20702193659428</v>
      </c>
    </row>
    <row r="118" spans="1:5" x14ac:dyDescent="0.2">
      <c r="A118" s="49">
        <f t="shared" si="5"/>
        <v>0.27200000000000002</v>
      </c>
      <c r="B118" s="49">
        <v>272</v>
      </c>
      <c r="C118" s="49">
        <v>0</v>
      </c>
      <c r="D118" s="49">
        <f t="shared" si="7"/>
        <v>99.99</v>
      </c>
      <c r="E118" s="40">
        <f t="shared" si="6"/>
        <v>39.20702193659428</v>
      </c>
    </row>
    <row r="119" spans="1:5" x14ac:dyDescent="0.2">
      <c r="A119" s="49">
        <f t="shared" si="5"/>
        <v>0.31</v>
      </c>
      <c r="B119" s="49">
        <v>310</v>
      </c>
      <c r="C119" s="49">
        <v>0</v>
      </c>
      <c r="D119" s="49">
        <f t="shared" si="7"/>
        <v>99.99</v>
      </c>
      <c r="E119" s="40">
        <f t="shared" si="6"/>
        <v>39.20702193659428</v>
      </c>
    </row>
    <row r="120" spans="1:5" x14ac:dyDescent="0.2">
      <c r="A120" s="49">
        <f t="shared" si="5"/>
        <v>0.35199999999999998</v>
      </c>
      <c r="B120" s="49">
        <v>352</v>
      </c>
      <c r="C120" s="49">
        <v>0</v>
      </c>
      <c r="D120" s="49">
        <f t="shared" si="7"/>
        <v>99.99</v>
      </c>
      <c r="E120" s="40">
        <f t="shared" si="6"/>
        <v>39.20702193659428</v>
      </c>
    </row>
    <row r="121" spans="1:5" x14ac:dyDescent="0.2">
      <c r="A121" s="49">
        <f t="shared" ref="A121:A135" si="8">B121/1000</f>
        <v>0.4</v>
      </c>
      <c r="B121" s="49">
        <v>400</v>
      </c>
      <c r="C121" s="49">
        <v>0</v>
      </c>
      <c r="D121" s="49">
        <f t="shared" si="7"/>
        <v>99.99</v>
      </c>
      <c r="E121" s="40">
        <f t="shared" si="6"/>
        <v>39.20702193659428</v>
      </c>
    </row>
    <row r="122" spans="1:5" x14ac:dyDescent="0.2">
      <c r="A122" s="49">
        <f t="shared" si="8"/>
        <v>0.45400000000000001</v>
      </c>
      <c r="B122" s="49">
        <v>454</v>
      </c>
      <c r="C122" s="49">
        <v>0</v>
      </c>
      <c r="D122" s="49">
        <f t="shared" si="7"/>
        <v>99.99</v>
      </c>
      <c r="E122" s="40">
        <f t="shared" si="6"/>
        <v>39.20702193659428</v>
      </c>
    </row>
    <row r="123" spans="1:5" x14ac:dyDescent="0.2">
      <c r="A123" s="49">
        <f t="shared" si="8"/>
        <v>0.51600000000000001</v>
      </c>
      <c r="B123" s="49">
        <v>516</v>
      </c>
      <c r="C123" s="49">
        <v>0</v>
      </c>
      <c r="D123" s="49">
        <f t="shared" si="7"/>
        <v>99.99</v>
      </c>
      <c r="E123" s="40">
        <f t="shared" si="6"/>
        <v>39.20702193659428</v>
      </c>
    </row>
    <row r="124" spans="1:5" x14ac:dyDescent="0.2">
      <c r="A124" s="49">
        <f t="shared" si="8"/>
        <v>0.58599999999999997</v>
      </c>
      <c r="B124" s="49">
        <v>586</v>
      </c>
      <c r="C124" s="49">
        <v>0</v>
      </c>
      <c r="D124" s="49">
        <f t="shared" si="7"/>
        <v>99.99</v>
      </c>
      <c r="E124" s="40">
        <f t="shared" si="6"/>
        <v>39.20702193659428</v>
      </c>
    </row>
    <row r="125" spans="1:5" x14ac:dyDescent="0.2">
      <c r="A125" s="49">
        <f t="shared" si="8"/>
        <v>0.66600000000000004</v>
      </c>
      <c r="B125" s="49">
        <v>666</v>
      </c>
      <c r="C125" s="49">
        <v>0</v>
      </c>
      <c r="D125" s="49">
        <f t="shared" si="7"/>
        <v>99.99</v>
      </c>
      <c r="E125" s="40">
        <f t="shared" si="6"/>
        <v>39.20702193659428</v>
      </c>
    </row>
    <row r="126" spans="1:5" x14ac:dyDescent="0.2">
      <c r="A126" s="49">
        <f t="shared" si="8"/>
        <v>0.75600000000000001</v>
      </c>
      <c r="B126" s="49">
        <v>756</v>
      </c>
      <c r="C126" s="49">
        <v>0</v>
      </c>
      <c r="D126" s="49">
        <f t="shared" si="7"/>
        <v>99.99</v>
      </c>
      <c r="E126" s="40">
        <f t="shared" si="6"/>
        <v>39.20702193659428</v>
      </c>
    </row>
    <row r="127" spans="1:5" x14ac:dyDescent="0.2">
      <c r="A127" s="49">
        <f t="shared" si="8"/>
        <v>0.85899999999999999</v>
      </c>
      <c r="B127" s="49">
        <v>859</v>
      </c>
      <c r="C127" s="49">
        <v>0</v>
      </c>
      <c r="D127" s="49">
        <f t="shared" si="7"/>
        <v>99.99</v>
      </c>
      <c r="E127" s="40">
        <f t="shared" si="6"/>
        <v>39.20702193659428</v>
      </c>
    </row>
    <row r="128" spans="1:5" x14ac:dyDescent="0.2">
      <c r="A128" s="49">
        <f t="shared" si="8"/>
        <v>0.97599999999999998</v>
      </c>
      <c r="B128" s="49">
        <v>976</v>
      </c>
      <c r="C128" s="49">
        <v>0</v>
      </c>
      <c r="D128" s="49">
        <f t="shared" si="7"/>
        <v>99.99</v>
      </c>
      <c r="E128" s="40">
        <f t="shared" si="6"/>
        <v>39.20702193659428</v>
      </c>
    </row>
    <row r="129" spans="1:5" x14ac:dyDescent="0.2">
      <c r="A129" s="49">
        <f t="shared" si="8"/>
        <v>1.1100000000000001</v>
      </c>
      <c r="B129" s="49">
        <v>1110</v>
      </c>
      <c r="C129" s="49">
        <v>0</v>
      </c>
      <c r="D129" s="49">
        <f t="shared" si="7"/>
        <v>99.99</v>
      </c>
      <c r="E129" s="40">
        <f t="shared" si="6"/>
        <v>39.20702193659428</v>
      </c>
    </row>
    <row r="130" spans="1:5" x14ac:dyDescent="0.2">
      <c r="A130" s="49">
        <f t="shared" si="8"/>
        <v>1.26</v>
      </c>
      <c r="B130" s="49">
        <v>1260</v>
      </c>
      <c r="C130" s="49">
        <v>0</v>
      </c>
      <c r="D130" s="49">
        <f t="shared" si="7"/>
        <v>99.99</v>
      </c>
      <c r="E130" s="40">
        <f t="shared" si="6"/>
        <v>39.20702193659428</v>
      </c>
    </row>
    <row r="131" spans="1:5" x14ac:dyDescent="0.2">
      <c r="A131" s="49">
        <f t="shared" si="8"/>
        <v>1.43</v>
      </c>
      <c r="B131" s="49">
        <v>1430</v>
      </c>
      <c r="C131" s="49">
        <v>0</v>
      </c>
      <c r="D131" s="49">
        <f t="shared" si="7"/>
        <v>99.99</v>
      </c>
      <c r="E131" s="40">
        <f t="shared" si="6"/>
        <v>39.20702193659428</v>
      </c>
    </row>
    <row r="132" spans="1:5" x14ac:dyDescent="0.2">
      <c r="A132" s="49">
        <f t="shared" si="8"/>
        <v>1.63</v>
      </c>
      <c r="B132" s="49">
        <v>1630</v>
      </c>
      <c r="C132" s="49">
        <v>0</v>
      </c>
      <c r="D132" s="49">
        <f t="shared" si="7"/>
        <v>99.99</v>
      </c>
      <c r="E132" s="40">
        <f t="shared" si="6"/>
        <v>39.20702193659428</v>
      </c>
    </row>
    <row r="133" spans="1:5" x14ac:dyDescent="0.2">
      <c r="A133" s="49">
        <f t="shared" si="8"/>
        <v>1.85</v>
      </c>
      <c r="B133" s="49">
        <v>1850</v>
      </c>
      <c r="C133" s="49">
        <v>0</v>
      </c>
      <c r="D133" s="49">
        <f t="shared" si="7"/>
        <v>99.99</v>
      </c>
      <c r="E133" s="40">
        <f t="shared" si="6"/>
        <v>39.20702193659428</v>
      </c>
    </row>
    <row r="134" spans="1:5" x14ac:dyDescent="0.2">
      <c r="A134" s="49">
        <f t="shared" si="8"/>
        <v>2.1</v>
      </c>
      <c r="B134" s="49">
        <v>2100</v>
      </c>
      <c r="C134" s="49">
        <v>0</v>
      </c>
      <c r="D134" s="49">
        <f t="shared" si="7"/>
        <v>99.99</v>
      </c>
      <c r="E134" s="40">
        <f t="shared" si="6"/>
        <v>39.20702193659428</v>
      </c>
    </row>
    <row r="135" spans="1:5" x14ac:dyDescent="0.2">
      <c r="A135" s="49">
        <f t="shared" si="8"/>
        <v>2.39</v>
      </c>
      <c r="B135" s="49">
        <v>2390</v>
      </c>
      <c r="C135" s="49">
        <v>0</v>
      </c>
      <c r="D135" s="49">
        <f t="shared" si="7"/>
        <v>99.99</v>
      </c>
      <c r="E135" s="40">
        <f t="shared" si="6"/>
        <v>39.20702193659428</v>
      </c>
    </row>
    <row r="136" spans="1:5" x14ac:dyDescent="0.2">
      <c r="A136" s="49"/>
      <c r="B136" s="49"/>
      <c r="C136" s="49"/>
      <c r="D136" s="49"/>
      <c r="E136" s="49"/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CBC3-7759-45C5-8E57-4CDFC795E3CD}">
  <dimension ref="A1:J133"/>
  <sheetViews>
    <sheetView zoomScale="93" workbookViewId="0">
      <selection activeCell="I11" sqref="I11:J1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  <c r="I2" s="41"/>
    </row>
    <row r="3" spans="1:10" x14ac:dyDescent="0.2">
      <c r="A3" s="3" t="s">
        <v>1</v>
      </c>
      <c r="B3" s="38">
        <v>43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67</v>
      </c>
      <c r="E4" s="46" t="s">
        <v>5</v>
      </c>
      <c r="G4" s="37"/>
      <c r="I4" s="40"/>
      <c r="J4" s="40"/>
    </row>
    <row r="5" spans="1:10" x14ac:dyDescent="0.2">
      <c r="A5" s="7" t="s">
        <v>6</v>
      </c>
      <c r="B5" s="47"/>
      <c r="C5" s="44">
        <f>J11-J13</f>
        <v>49.525379266750939</v>
      </c>
      <c r="D5" s="10" t="s">
        <v>7</v>
      </c>
      <c r="E5" s="16"/>
      <c r="G5" s="37"/>
      <c r="J5" s="40"/>
    </row>
    <row r="6" spans="1:10" x14ac:dyDescent="0.2">
      <c r="A6" s="12" t="s">
        <v>8</v>
      </c>
      <c r="B6" s="19">
        <f>100-(D22/C5*100)</f>
        <v>-17.566750883704557</v>
      </c>
      <c r="C6" s="5">
        <v>0</v>
      </c>
      <c r="D6" s="13"/>
      <c r="E6" s="5"/>
      <c r="F6" s="9"/>
      <c r="I6" s="42"/>
      <c r="J6" s="40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  <c r="I7" s="42"/>
      <c r="J7" s="40"/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  <c r="I8" s="42"/>
      <c r="J8" s="40"/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  <c r="I9" s="42"/>
      <c r="J9" s="4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99.999999999999986</v>
      </c>
    </row>
    <row r="11" spans="1:10" ht="14.25" customHeight="1" x14ac:dyDescent="0.2">
      <c r="A11" s="21"/>
      <c r="B11" s="21"/>
      <c r="C11" s="21"/>
      <c r="D11" s="31">
        <f t="shared" ref="D11:D20" si="2">B11-C11</f>
        <v>0</v>
      </c>
      <c r="E11" s="28">
        <f t="shared" si="0"/>
        <v>0</v>
      </c>
      <c r="F11" s="21"/>
      <c r="G11" s="28">
        <f t="shared" si="1"/>
        <v>99.999999999999986</v>
      </c>
      <c r="I11" t="s">
        <v>68</v>
      </c>
      <c r="J11">
        <v>55.725379266750942</v>
      </c>
    </row>
    <row r="12" spans="1:10" x14ac:dyDescent="0.2">
      <c r="A12" s="27">
        <v>2</v>
      </c>
      <c r="B12" s="28">
        <v>138.1</v>
      </c>
      <c r="C12" s="48">
        <v>135.9</v>
      </c>
      <c r="D12" s="34">
        <f t="shared" si="2"/>
        <v>2.1999999999999886</v>
      </c>
      <c r="E12" s="28">
        <f t="shared" si="0"/>
        <v>3.7784210729156693</v>
      </c>
      <c r="F12" s="21">
        <v>6.3</v>
      </c>
      <c r="G12" s="28">
        <f t="shared" si="1"/>
        <v>99.999999999999986</v>
      </c>
      <c r="I12" t="s">
        <v>21</v>
      </c>
      <c r="J12">
        <v>41.1</v>
      </c>
    </row>
    <row r="13" spans="1:10" x14ac:dyDescent="0.2">
      <c r="A13" s="27">
        <v>1</v>
      </c>
      <c r="B13" s="28">
        <v>119.9</v>
      </c>
      <c r="C13" s="28">
        <v>118.8</v>
      </c>
      <c r="D13" s="34">
        <f t="shared" si="2"/>
        <v>1.1000000000000085</v>
      </c>
      <c r="E13" s="28">
        <f t="shared" si="0"/>
        <v>1.8892105364578589</v>
      </c>
      <c r="F13" s="27">
        <v>2</v>
      </c>
      <c r="G13" s="28">
        <f t="shared" si="1"/>
        <v>96.221578927084323</v>
      </c>
      <c r="I13" s="40" t="s">
        <v>22</v>
      </c>
      <c r="J13" s="40">
        <v>6.2</v>
      </c>
    </row>
    <row r="14" spans="1:10" x14ac:dyDescent="0.2">
      <c r="A14" s="27">
        <v>0.6</v>
      </c>
      <c r="B14" s="28">
        <v>119.4</v>
      </c>
      <c r="C14" s="28">
        <v>117.2</v>
      </c>
      <c r="D14" s="34">
        <f t="shared" si="2"/>
        <v>2.2000000000000028</v>
      </c>
      <c r="E14" s="28">
        <f t="shared" si="0"/>
        <v>3.7784210729156933</v>
      </c>
      <c r="F14" s="27">
        <v>1</v>
      </c>
      <c r="G14" s="28">
        <f t="shared" si="1"/>
        <v>94.332368390626471</v>
      </c>
      <c r="I14" t="s">
        <v>21</v>
      </c>
      <c r="J14" s="40">
        <f>J12-J13</f>
        <v>34.9</v>
      </c>
    </row>
    <row r="15" spans="1:10" x14ac:dyDescent="0.2">
      <c r="A15" s="27">
        <v>0.35499999999999998</v>
      </c>
      <c r="B15" s="28">
        <v>111.9</v>
      </c>
      <c r="C15" s="28">
        <v>106.9</v>
      </c>
      <c r="D15" s="34">
        <f t="shared" si="2"/>
        <v>5</v>
      </c>
      <c r="E15" s="28">
        <f t="shared" si="0"/>
        <v>8.5873206202629291</v>
      </c>
      <c r="F15" s="27">
        <v>0.6</v>
      </c>
      <c r="G15" s="28">
        <f t="shared" si="1"/>
        <v>90.553947317710779</v>
      </c>
      <c r="I15" s="42" t="s">
        <v>23</v>
      </c>
      <c r="J15" s="40">
        <f>B21-C21</f>
        <v>1.9000000000000057</v>
      </c>
    </row>
    <row r="16" spans="1:10" x14ac:dyDescent="0.2">
      <c r="A16" s="27">
        <v>0.25</v>
      </c>
      <c r="B16" s="28">
        <v>110.8</v>
      </c>
      <c r="C16" s="28">
        <v>105.6</v>
      </c>
      <c r="D16" s="34">
        <f t="shared" si="2"/>
        <v>5.2000000000000028</v>
      </c>
      <c r="E16" s="28">
        <f t="shared" si="0"/>
        <v>8.9308134450734507</v>
      </c>
      <c r="F16" s="27">
        <v>0.35499999999999998</v>
      </c>
      <c r="G16" s="28">
        <f t="shared" si="1"/>
        <v>81.96662669744785</v>
      </c>
      <c r="I16" s="42" t="s">
        <v>24</v>
      </c>
      <c r="J16" s="40">
        <f>(J11-J14)+J15</f>
        <v>22.725379266750949</v>
      </c>
    </row>
    <row r="17" spans="1:10" x14ac:dyDescent="0.2">
      <c r="A17" s="27">
        <v>0.18</v>
      </c>
      <c r="B17" s="28">
        <v>108.4</v>
      </c>
      <c r="C17" s="28">
        <v>104</v>
      </c>
      <c r="D17" s="34">
        <f t="shared" si="2"/>
        <v>4.4000000000000057</v>
      </c>
      <c r="E17" s="28">
        <f t="shared" si="0"/>
        <v>7.5568421458313866</v>
      </c>
      <c r="F17" s="27">
        <v>0.25</v>
      </c>
      <c r="G17" s="28">
        <f t="shared" si="1"/>
        <v>73.035813252374396</v>
      </c>
      <c r="I17" s="42" t="s">
        <v>25</v>
      </c>
      <c r="J17" s="40">
        <f>C21</f>
        <v>76.599999999999994</v>
      </c>
    </row>
    <row r="18" spans="1:10" x14ac:dyDescent="0.2">
      <c r="A18" s="27">
        <v>0.125</v>
      </c>
      <c r="B18" s="28">
        <v>109.3</v>
      </c>
      <c r="C18" s="28">
        <v>103.4</v>
      </c>
      <c r="D18" s="34">
        <f t="shared" si="2"/>
        <v>5.8999999999999915</v>
      </c>
      <c r="E18" s="28">
        <f t="shared" si="0"/>
        <v>10.133038331910241</v>
      </c>
      <c r="F18" s="27">
        <v>0.18</v>
      </c>
      <c r="G18" s="28">
        <f t="shared" si="1"/>
        <v>65.478971106543014</v>
      </c>
      <c r="I18" s="42" t="s">
        <v>26</v>
      </c>
      <c r="J18" s="40">
        <f>J16+J17</f>
        <v>99.325379266750943</v>
      </c>
    </row>
    <row r="19" spans="1:10" x14ac:dyDescent="0.2">
      <c r="A19" s="27">
        <v>0.09</v>
      </c>
      <c r="B19" s="28">
        <v>108.5</v>
      </c>
      <c r="C19" s="28">
        <v>104.4</v>
      </c>
      <c r="D19" s="34">
        <f t="shared" si="2"/>
        <v>4.0999999999999943</v>
      </c>
      <c r="E19" s="28">
        <f t="shared" si="0"/>
        <v>7.0416029086155918</v>
      </c>
      <c r="F19" s="27">
        <v>0.125</v>
      </c>
      <c r="G19" s="28">
        <f t="shared" si="1"/>
        <v>55.345932774632772</v>
      </c>
    </row>
    <row r="20" spans="1:10" x14ac:dyDescent="0.2">
      <c r="A20" s="27">
        <v>6.3E-2</v>
      </c>
      <c r="B20" s="28">
        <v>107.6</v>
      </c>
      <c r="C20" s="28">
        <v>104.1</v>
      </c>
      <c r="D20" s="34">
        <f t="shared" si="2"/>
        <v>3.5</v>
      </c>
      <c r="E20" s="28">
        <f t="shared" si="0"/>
        <v>6.0111244341840493</v>
      </c>
      <c r="F20" s="27">
        <v>0.09</v>
      </c>
      <c r="G20" s="28">
        <f t="shared" si="1"/>
        <v>48.304329866017177</v>
      </c>
    </row>
    <row r="21" spans="1:10" x14ac:dyDescent="0.2">
      <c r="A21" s="2" t="s">
        <v>25</v>
      </c>
      <c r="B21" s="28">
        <v>78.5</v>
      </c>
      <c r="C21" s="28">
        <v>76.599999999999994</v>
      </c>
      <c r="D21" s="34">
        <f>(B21-C21)+J16</f>
        <v>24.625379266750954</v>
      </c>
      <c r="E21" s="28">
        <f t="shared" si="0"/>
        <v>42.29320543183313</v>
      </c>
      <c r="F21" s="27">
        <v>6.3E-2</v>
      </c>
      <c r="G21" s="28">
        <f>E21</f>
        <v>42.29320543183313</v>
      </c>
    </row>
    <row r="22" spans="1:10" x14ac:dyDescent="0.2">
      <c r="A22" s="2" t="s">
        <v>27</v>
      </c>
      <c r="B22" s="2"/>
      <c r="C22" s="21"/>
      <c r="D22" s="36">
        <f>SUM(D9:D21)</f>
        <v>58.225379266750949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6" spans="1:5" x14ac:dyDescent="0.2">
      <c r="A56" s="40">
        <f>E21</f>
        <v>42.29320543183313</v>
      </c>
      <c r="B56" t="s">
        <v>71</v>
      </c>
      <c r="C56" t="s">
        <v>69</v>
      </c>
      <c r="D56" t="s">
        <v>70</v>
      </c>
    </row>
    <row r="57" spans="1:5" x14ac:dyDescent="0.2">
      <c r="B57">
        <f>C57/1000</f>
        <v>9.9500000000000006E-5</v>
      </c>
      <c r="C57">
        <v>9.9500000000000005E-2</v>
      </c>
      <c r="D57">
        <v>0</v>
      </c>
    </row>
    <row r="58" spans="1:5" x14ac:dyDescent="0.2">
      <c r="B58">
        <f t="shared" ref="B58:B121" si="3">C58/1000</f>
        <v>1.1300000000000001E-4</v>
      </c>
      <c r="C58">
        <v>0.113</v>
      </c>
      <c r="D58">
        <v>0</v>
      </c>
    </row>
    <row r="59" spans="1:5" x14ac:dyDescent="0.2">
      <c r="B59">
        <f t="shared" si="3"/>
        <v>1.2799999999999999E-4</v>
      </c>
      <c r="C59">
        <v>0.128</v>
      </c>
      <c r="D59">
        <v>0</v>
      </c>
    </row>
    <row r="60" spans="1:5" x14ac:dyDescent="0.2">
      <c r="B60">
        <f t="shared" si="3"/>
        <v>1.46E-4</v>
      </c>
      <c r="C60">
        <v>0.14599999999999999</v>
      </c>
      <c r="D60">
        <v>0</v>
      </c>
    </row>
    <row r="61" spans="1:5" x14ac:dyDescent="0.2">
      <c r="B61">
        <f t="shared" si="3"/>
        <v>1.66E-4</v>
      </c>
      <c r="C61">
        <v>0.16600000000000001</v>
      </c>
      <c r="D61">
        <v>0</v>
      </c>
    </row>
    <row r="62" spans="1:5" x14ac:dyDescent="0.2">
      <c r="B62">
        <f t="shared" si="3"/>
        <v>1.8799999999999999E-4</v>
      </c>
      <c r="C62">
        <v>0.188</v>
      </c>
      <c r="D62">
        <v>0</v>
      </c>
    </row>
    <row r="63" spans="1:5" x14ac:dyDescent="0.2">
      <c r="B63">
        <f t="shared" si="3"/>
        <v>2.14E-4</v>
      </c>
      <c r="C63">
        <v>0.214</v>
      </c>
      <c r="D63">
        <v>0</v>
      </c>
    </row>
    <row r="64" spans="1:5" x14ac:dyDescent="0.2">
      <c r="B64">
        <f t="shared" si="3"/>
        <v>2.43E-4</v>
      </c>
      <c r="C64">
        <v>0.24299999999999999</v>
      </c>
      <c r="D64">
        <v>0</v>
      </c>
    </row>
    <row r="65" spans="2:6" x14ac:dyDescent="0.2">
      <c r="B65">
        <f t="shared" si="3"/>
        <v>2.7600000000000004E-4</v>
      </c>
      <c r="C65">
        <v>0.27600000000000002</v>
      </c>
      <c r="D65">
        <v>0</v>
      </c>
    </row>
    <row r="66" spans="2:6" x14ac:dyDescent="0.2">
      <c r="B66">
        <f t="shared" si="3"/>
        <v>3.1399999999999999E-4</v>
      </c>
      <c r="C66">
        <v>0.314</v>
      </c>
      <c r="D66">
        <v>0</v>
      </c>
    </row>
    <row r="67" spans="2:6" x14ac:dyDescent="0.2">
      <c r="B67">
        <f t="shared" si="3"/>
        <v>3.57E-4</v>
      </c>
      <c r="C67">
        <v>0.35699999999999998</v>
      </c>
      <c r="D67">
        <v>0</v>
      </c>
    </row>
    <row r="68" spans="2:6" x14ac:dyDescent="0.2">
      <c r="B68">
        <f t="shared" si="3"/>
        <v>4.0500000000000003E-4</v>
      </c>
      <c r="C68">
        <v>0.40500000000000003</v>
      </c>
      <c r="D68">
        <v>0</v>
      </c>
    </row>
    <row r="69" spans="2:6" x14ac:dyDescent="0.2">
      <c r="B69">
        <f t="shared" si="3"/>
        <v>4.6000000000000001E-4</v>
      </c>
      <c r="C69">
        <v>0.46</v>
      </c>
      <c r="D69">
        <v>0</v>
      </c>
    </row>
    <row r="70" spans="2:6" x14ac:dyDescent="0.2">
      <c r="B70">
        <f t="shared" si="3"/>
        <v>5.2300000000000003E-4</v>
      </c>
      <c r="C70">
        <v>0.52300000000000002</v>
      </c>
      <c r="D70">
        <v>0</v>
      </c>
    </row>
    <row r="71" spans="2:6" x14ac:dyDescent="0.2">
      <c r="B71">
        <f t="shared" si="3"/>
        <v>5.9400000000000002E-4</v>
      </c>
      <c r="C71">
        <v>0.59399999999999997</v>
      </c>
      <c r="D71">
        <v>0</v>
      </c>
    </row>
    <row r="72" spans="2:6" x14ac:dyDescent="0.2">
      <c r="B72">
        <f t="shared" si="3"/>
        <v>6.7500000000000004E-4</v>
      </c>
      <c r="C72">
        <v>0.67500000000000004</v>
      </c>
      <c r="D72">
        <v>0</v>
      </c>
    </row>
    <row r="73" spans="2:6" x14ac:dyDescent="0.2">
      <c r="B73">
        <f t="shared" si="3"/>
        <v>7.67E-4</v>
      </c>
      <c r="C73">
        <v>0.76700000000000002</v>
      </c>
      <c r="D73">
        <v>0</v>
      </c>
    </row>
    <row r="74" spans="2:6" x14ac:dyDescent="0.2">
      <c r="B74">
        <f t="shared" si="3"/>
        <v>8.7199999999999995E-4</v>
      </c>
      <c r="C74">
        <v>0.872</v>
      </c>
      <c r="D74">
        <v>0</v>
      </c>
    </row>
    <row r="75" spans="2:6" x14ac:dyDescent="0.2">
      <c r="B75">
        <f t="shared" si="3"/>
        <v>9.9099999999999991E-4</v>
      </c>
      <c r="C75">
        <v>0.99099999999999999</v>
      </c>
      <c r="D75">
        <v>0</v>
      </c>
    </row>
    <row r="76" spans="2:6" x14ac:dyDescent="0.2">
      <c r="B76">
        <f t="shared" si="3"/>
        <v>1.1299999999999999E-3</v>
      </c>
      <c r="C76">
        <v>1.1299999999999999</v>
      </c>
      <c r="D76">
        <v>0.24</v>
      </c>
      <c r="E76">
        <f>D75+D76</f>
        <v>0.24</v>
      </c>
      <c r="F76">
        <f>(E76*$A$56)/100</f>
        <v>0.1015036930363995</v>
      </c>
    </row>
    <row r="77" spans="2:6" x14ac:dyDescent="0.2">
      <c r="B77">
        <f t="shared" si="3"/>
        <v>1.2800000000000001E-3</v>
      </c>
      <c r="C77">
        <v>1.28</v>
      </c>
      <c r="D77">
        <v>0.54</v>
      </c>
      <c r="E77">
        <f>E76+D77</f>
        <v>0.78</v>
      </c>
      <c r="F77">
        <f t="shared" ref="F77:F133" si="4">(E77*$A$56)/100</f>
        <v>0.32988700236829843</v>
      </c>
    </row>
    <row r="78" spans="2:6" x14ac:dyDescent="0.2">
      <c r="B78">
        <f t="shared" si="3"/>
        <v>1.4499999999999999E-3</v>
      </c>
      <c r="C78">
        <v>1.45</v>
      </c>
      <c r="D78">
        <v>0.9</v>
      </c>
      <c r="E78">
        <f t="shared" ref="E78:E133" si="5">E77+D78</f>
        <v>1.6800000000000002</v>
      </c>
      <c r="F78">
        <f t="shared" si="4"/>
        <v>0.71052585125479661</v>
      </c>
    </row>
    <row r="79" spans="2:6" x14ac:dyDescent="0.2">
      <c r="B79">
        <f t="shared" si="3"/>
        <v>1.65E-3</v>
      </c>
      <c r="C79">
        <v>1.65</v>
      </c>
      <c r="D79">
        <v>1.29</v>
      </c>
      <c r="E79">
        <f t="shared" si="5"/>
        <v>2.97</v>
      </c>
      <c r="F79">
        <f t="shared" si="4"/>
        <v>1.2561082013254441</v>
      </c>
    </row>
    <row r="80" spans="2:6" x14ac:dyDescent="0.2">
      <c r="B80">
        <f t="shared" si="3"/>
        <v>1.8799999999999999E-3</v>
      </c>
      <c r="C80">
        <v>1.88</v>
      </c>
      <c r="D80">
        <v>1.66</v>
      </c>
      <c r="E80">
        <f t="shared" si="5"/>
        <v>4.63</v>
      </c>
      <c r="F80">
        <f t="shared" si="4"/>
        <v>1.9581754114938739</v>
      </c>
    </row>
    <row r="81" spans="2:6" x14ac:dyDescent="0.2">
      <c r="B81" s="51">
        <f t="shared" si="3"/>
        <v>2.1299999999999999E-3</v>
      </c>
      <c r="C81" s="51">
        <v>2.13</v>
      </c>
      <c r="D81" s="51">
        <v>2</v>
      </c>
      <c r="E81" s="51">
        <f t="shared" si="5"/>
        <v>6.63</v>
      </c>
      <c r="F81" s="51">
        <f t="shared" si="4"/>
        <v>2.8040395201305364</v>
      </c>
    </row>
    <row r="82" spans="2:6" x14ac:dyDescent="0.2">
      <c r="B82">
        <f t="shared" si="3"/>
        <v>2.4199999999999998E-3</v>
      </c>
      <c r="C82">
        <v>2.42</v>
      </c>
      <c r="D82">
        <v>2.35</v>
      </c>
      <c r="E82">
        <f t="shared" si="5"/>
        <v>8.98</v>
      </c>
      <c r="F82">
        <f t="shared" si="4"/>
        <v>3.7979298477786152</v>
      </c>
    </row>
    <row r="83" spans="2:6" x14ac:dyDescent="0.2">
      <c r="B83">
        <f t="shared" si="3"/>
        <v>2.7499999999999998E-3</v>
      </c>
      <c r="C83">
        <v>2.75</v>
      </c>
      <c r="D83">
        <v>2.72</v>
      </c>
      <c r="E83">
        <f t="shared" si="5"/>
        <v>11.700000000000001</v>
      </c>
      <c r="F83">
        <f t="shared" si="4"/>
        <v>4.9483050355244771</v>
      </c>
    </row>
    <row r="84" spans="2:6" x14ac:dyDescent="0.2">
      <c r="B84">
        <f t="shared" si="3"/>
        <v>3.1199999999999999E-3</v>
      </c>
      <c r="C84">
        <v>3.12</v>
      </c>
      <c r="D84">
        <v>3.15</v>
      </c>
      <c r="E84">
        <f t="shared" si="5"/>
        <v>14.850000000000001</v>
      </c>
      <c r="F84">
        <f t="shared" si="4"/>
        <v>6.28054100662722</v>
      </c>
    </row>
    <row r="85" spans="2:6" x14ac:dyDescent="0.2">
      <c r="B85">
        <f t="shared" si="3"/>
        <v>3.5499999999999998E-3</v>
      </c>
      <c r="C85">
        <v>3.55</v>
      </c>
      <c r="D85">
        <v>3.63</v>
      </c>
      <c r="E85">
        <f t="shared" si="5"/>
        <v>18.48</v>
      </c>
      <c r="F85">
        <f t="shared" si="4"/>
        <v>7.815784363802762</v>
      </c>
    </row>
    <row r="86" spans="2:6" x14ac:dyDescent="0.2">
      <c r="B86">
        <f t="shared" si="3"/>
        <v>4.0300000000000006E-3</v>
      </c>
      <c r="C86">
        <v>4.03</v>
      </c>
      <c r="D86">
        <v>4.13</v>
      </c>
      <c r="E86">
        <f t="shared" si="5"/>
        <v>22.61</v>
      </c>
      <c r="F86">
        <f t="shared" si="4"/>
        <v>9.5624937481374701</v>
      </c>
    </row>
    <row r="87" spans="2:6" x14ac:dyDescent="0.2">
      <c r="B87">
        <f t="shared" si="3"/>
        <v>4.5799999999999999E-3</v>
      </c>
      <c r="C87">
        <v>4.58</v>
      </c>
      <c r="D87">
        <v>4.6500000000000004</v>
      </c>
      <c r="E87">
        <f t="shared" si="5"/>
        <v>27.259999999999998</v>
      </c>
      <c r="F87">
        <f t="shared" si="4"/>
        <v>11.52912780071771</v>
      </c>
    </row>
    <row r="88" spans="2:6" x14ac:dyDescent="0.2">
      <c r="B88">
        <f t="shared" si="3"/>
        <v>5.2100000000000002E-3</v>
      </c>
      <c r="C88">
        <v>5.21</v>
      </c>
      <c r="D88">
        <v>5.13</v>
      </c>
      <c r="E88">
        <f t="shared" si="5"/>
        <v>32.39</v>
      </c>
      <c r="F88">
        <f t="shared" si="4"/>
        <v>13.698769239370751</v>
      </c>
    </row>
    <row r="89" spans="2:6" x14ac:dyDescent="0.2">
      <c r="B89">
        <f t="shared" si="3"/>
        <v>5.9199999999999999E-3</v>
      </c>
      <c r="C89">
        <v>5.92</v>
      </c>
      <c r="D89">
        <v>5.56</v>
      </c>
      <c r="E89">
        <f t="shared" si="5"/>
        <v>37.950000000000003</v>
      </c>
      <c r="F89">
        <f t="shared" si="4"/>
        <v>16.050271461380675</v>
      </c>
    </row>
    <row r="90" spans="2:6" x14ac:dyDescent="0.2">
      <c r="B90">
        <f t="shared" si="3"/>
        <v>6.7199999999999994E-3</v>
      </c>
      <c r="C90">
        <v>6.72</v>
      </c>
      <c r="D90">
        <v>5.9</v>
      </c>
      <c r="E90">
        <f t="shared" si="5"/>
        <v>43.85</v>
      </c>
      <c r="F90">
        <f t="shared" si="4"/>
        <v>18.545570581858829</v>
      </c>
    </row>
    <row r="91" spans="2:6" x14ac:dyDescent="0.2">
      <c r="B91">
        <f t="shared" si="3"/>
        <v>7.6400000000000001E-3</v>
      </c>
      <c r="C91">
        <v>7.64</v>
      </c>
      <c r="D91">
        <v>6.14</v>
      </c>
      <c r="E91">
        <f t="shared" si="5"/>
        <v>49.99</v>
      </c>
      <c r="F91">
        <f t="shared" si="4"/>
        <v>21.142373395373383</v>
      </c>
    </row>
    <row r="92" spans="2:6" x14ac:dyDescent="0.2">
      <c r="B92">
        <f t="shared" si="3"/>
        <v>8.6800000000000002E-3</v>
      </c>
      <c r="C92">
        <v>8.68</v>
      </c>
      <c r="D92">
        <v>6.25</v>
      </c>
      <c r="E92">
        <f t="shared" si="5"/>
        <v>56.24</v>
      </c>
      <c r="F92">
        <f t="shared" si="4"/>
        <v>23.785698734862954</v>
      </c>
    </row>
    <row r="93" spans="2:6" x14ac:dyDescent="0.2">
      <c r="B93">
        <f t="shared" si="3"/>
        <v>9.859999999999999E-3</v>
      </c>
      <c r="C93">
        <v>9.86</v>
      </c>
      <c r="D93">
        <v>6.22</v>
      </c>
      <c r="E93">
        <f t="shared" si="5"/>
        <v>62.46</v>
      </c>
      <c r="F93">
        <f t="shared" si="4"/>
        <v>26.416336112722973</v>
      </c>
    </row>
    <row r="94" spans="2:6" x14ac:dyDescent="0.2">
      <c r="B94">
        <f t="shared" si="3"/>
        <v>1.12E-2</v>
      </c>
      <c r="C94">
        <v>11.2</v>
      </c>
      <c r="D94">
        <v>6.04</v>
      </c>
      <c r="E94">
        <f t="shared" si="5"/>
        <v>68.5</v>
      </c>
      <c r="F94">
        <f t="shared" si="4"/>
        <v>28.970845720805691</v>
      </c>
    </row>
    <row r="95" spans="2:6" x14ac:dyDescent="0.2">
      <c r="B95">
        <f t="shared" si="3"/>
        <v>1.2699999999999999E-2</v>
      </c>
      <c r="C95">
        <v>12.7</v>
      </c>
      <c r="D95">
        <v>5.71</v>
      </c>
      <c r="E95">
        <f t="shared" si="5"/>
        <v>74.209999999999994</v>
      </c>
      <c r="F95">
        <f t="shared" si="4"/>
        <v>31.385787750963363</v>
      </c>
    </row>
    <row r="96" spans="2:6" x14ac:dyDescent="0.2">
      <c r="B96">
        <f t="shared" si="3"/>
        <v>1.4500000000000001E-2</v>
      </c>
      <c r="C96">
        <v>14.5</v>
      </c>
      <c r="D96">
        <v>5.25</v>
      </c>
      <c r="E96">
        <f t="shared" si="5"/>
        <v>79.459999999999994</v>
      </c>
      <c r="F96">
        <f t="shared" si="4"/>
        <v>33.606181036134601</v>
      </c>
    </row>
    <row r="97" spans="2:6" x14ac:dyDescent="0.2">
      <c r="B97">
        <f t="shared" si="3"/>
        <v>1.6399999999999998E-2</v>
      </c>
      <c r="C97">
        <v>16.399999999999999</v>
      </c>
      <c r="D97">
        <v>4.68</v>
      </c>
      <c r="E97">
        <f t="shared" si="5"/>
        <v>84.139999999999986</v>
      </c>
      <c r="F97">
        <f t="shared" si="4"/>
        <v>35.585503050344393</v>
      </c>
    </row>
    <row r="98" spans="2:6" x14ac:dyDescent="0.2">
      <c r="B98">
        <f t="shared" si="3"/>
        <v>1.8699999999999998E-2</v>
      </c>
      <c r="C98">
        <v>18.7</v>
      </c>
      <c r="D98">
        <v>4.04</v>
      </c>
      <c r="E98">
        <f t="shared" si="5"/>
        <v>88.179999999999993</v>
      </c>
      <c r="F98">
        <f t="shared" si="4"/>
        <v>37.294148549790449</v>
      </c>
    </row>
    <row r="99" spans="2:6" x14ac:dyDescent="0.2">
      <c r="B99">
        <f t="shared" si="3"/>
        <v>2.12E-2</v>
      </c>
      <c r="C99">
        <v>21.2</v>
      </c>
      <c r="D99">
        <v>3.35</v>
      </c>
      <c r="E99">
        <f t="shared" si="5"/>
        <v>91.529999999999987</v>
      </c>
      <c r="F99">
        <f t="shared" si="4"/>
        <v>38.710970931756854</v>
      </c>
    </row>
    <row r="100" spans="2:6" x14ac:dyDescent="0.2">
      <c r="B100">
        <f t="shared" si="3"/>
        <v>2.41E-2</v>
      </c>
      <c r="C100">
        <v>24.1</v>
      </c>
      <c r="D100">
        <v>2.65</v>
      </c>
      <c r="E100">
        <f t="shared" si="5"/>
        <v>94.179999999999993</v>
      </c>
      <c r="F100">
        <f t="shared" si="4"/>
        <v>39.83174087570044</v>
      </c>
    </row>
    <row r="101" spans="2:6" x14ac:dyDescent="0.2">
      <c r="B101">
        <f t="shared" si="3"/>
        <v>2.7399999999999997E-2</v>
      </c>
      <c r="C101">
        <v>27.4</v>
      </c>
      <c r="D101">
        <v>1.99</v>
      </c>
      <c r="E101">
        <f t="shared" si="5"/>
        <v>96.169999999999987</v>
      </c>
      <c r="F101">
        <f t="shared" si="4"/>
        <v>40.673375663793919</v>
      </c>
    </row>
    <row r="102" spans="2:6" x14ac:dyDescent="0.2">
      <c r="B102">
        <f t="shared" si="3"/>
        <v>3.1100000000000003E-2</v>
      </c>
      <c r="C102">
        <v>31.1</v>
      </c>
      <c r="D102">
        <v>1.4</v>
      </c>
      <c r="E102">
        <f t="shared" si="5"/>
        <v>97.57</v>
      </c>
      <c r="F102">
        <f t="shared" si="4"/>
        <v>41.265480539839579</v>
      </c>
    </row>
    <row r="103" spans="2:6" x14ac:dyDescent="0.2">
      <c r="B103">
        <f t="shared" si="3"/>
        <v>3.5299999999999998E-2</v>
      </c>
      <c r="C103">
        <v>35.299999999999997</v>
      </c>
      <c r="D103">
        <v>0.91</v>
      </c>
      <c r="E103">
        <f t="shared" si="5"/>
        <v>98.47999999999999</v>
      </c>
      <c r="F103">
        <f t="shared" si="4"/>
        <v>41.650348709269267</v>
      </c>
    </row>
    <row r="104" spans="2:6" x14ac:dyDescent="0.2">
      <c r="B104">
        <f t="shared" si="3"/>
        <v>4.0100000000000004E-2</v>
      </c>
      <c r="C104">
        <v>40.1</v>
      </c>
      <c r="D104">
        <v>0.55000000000000004</v>
      </c>
      <c r="E104">
        <f t="shared" si="5"/>
        <v>99.029999999999987</v>
      </c>
      <c r="F104">
        <f t="shared" si="4"/>
        <v>41.882961339144337</v>
      </c>
    </row>
    <row r="105" spans="2:6" x14ac:dyDescent="0.2">
      <c r="B105">
        <f t="shared" si="3"/>
        <v>4.5600000000000002E-2</v>
      </c>
      <c r="C105">
        <v>45.6</v>
      </c>
      <c r="D105">
        <v>0.3</v>
      </c>
      <c r="E105">
        <f t="shared" si="5"/>
        <v>99.329999999999984</v>
      </c>
      <c r="F105">
        <f t="shared" si="4"/>
        <v>42.009840955439842</v>
      </c>
    </row>
    <row r="106" spans="2:6" x14ac:dyDescent="0.2">
      <c r="B106">
        <f t="shared" si="3"/>
        <v>5.1799999999999999E-2</v>
      </c>
      <c r="C106">
        <v>51.8</v>
      </c>
      <c r="D106">
        <v>0.16</v>
      </c>
      <c r="E106">
        <f t="shared" si="5"/>
        <v>99.489999999999981</v>
      </c>
      <c r="F106">
        <f t="shared" si="4"/>
        <v>42.077510084130772</v>
      </c>
    </row>
    <row r="107" spans="2:6" x14ac:dyDescent="0.2">
      <c r="B107">
        <f t="shared" si="3"/>
        <v>5.8900000000000001E-2</v>
      </c>
      <c r="C107">
        <v>58.9</v>
      </c>
      <c r="D107">
        <v>0.1</v>
      </c>
      <c r="E107">
        <f t="shared" si="5"/>
        <v>99.589999999999975</v>
      </c>
      <c r="F107">
        <f t="shared" si="4"/>
        <v>42.119803289562604</v>
      </c>
    </row>
    <row r="108" spans="2:6" x14ac:dyDescent="0.2">
      <c r="B108">
        <f t="shared" si="3"/>
        <v>6.6900000000000001E-2</v>
      </c>
      <c r="C108">
        <v>66.900000000000006</v>
      </c>
      <c r="D108">
        <v>0.08</v>
      </c>
      <c r="E108">
        <f t="shared" si="5"/>
        <v>99.669999999999973</v>
      </c>
      <c r="F108">
        <f t="shared" si="4"/>
        <v>42.153637853908066</v>
      </c>
    </row>
    <row r="109" spans="2:6" x14ac:dyDescent="0.2">
      <c r="B109">
        <f t="shared" si="3"/>
        <v>7.5999999999999998E-2</v>
      </c>
      <c r="C109">
        <v>76</v>
      </c>
      <c r="D109">
        <v>0.09</v>
      </c>
      <c r="E109">
        <f t="shared" si="5"/>
        <v>99.759999999999977</v>
      </c>
      <c r="F109">
        <f t="shared" si="4"/>
        <v>42.191701738796716</v>
      </c>
    </row>
    <row r="110" spans="2:6" x14ac:dyDescent="0.2">
      <c r="B110">
        <f t="shared" si="3"/>
        <v>8.6400000000000005E-2</v>
      </c>
      <c r="C110">
        <v>86.4</v>
      </c>
      <c r="D110">
        <v>0.1</v>
      </c>
      <c r="E110">
        <f t="shared" si="5"/>
        <v>99.859999999999971</v>
      </c>
      <c r="F110">
        <f t="shared" si="4"/>
        <v>42.233994944228556</v>
      </c>
    </row>
    <row r="111" spans="2:6" x14ac:dyDescent="0.2">
      <c r="B111">
        <f t="shared" si="3"/>
        <v>9.8099999999999993E-2</v>
      </c>
      <c r="C111">
        <v>98.1</v>
      </c>
      <c r="D111">
        <v>0.09</v>
      </c>
      <c r="E111">
        <f t="shared" si="5"/>
        <v>99.949999999999974</v>
      </c>
      <c r="F111">
        <f t="shared" si="4"/>
        <v>42.272058829117206</v>
      </c>
    </row>
    <row r="112" spans="2:6" x14ac:dyDescent="0.2">
      <c r="B112">
        <f t="shared" si="3"/>
        <v>0.111</v>
      </c>
      <c r="C112">
        <v>111</v>
      </c>
      <c r="D112">
        <v>7.0000000000000007E-2</v>
      </c>
      <c r="E112">
        <f t="shared" si="5"/>
        <v>100.01999999999997</v>
      </c>
      <c r="F112">
        <f t="shared" si="4"/>
        <v>42.301664072919486</v>
      </c>
    </row>
    <row r="113" spans="2:6" x14ac:dyDescent="0.2">
      <c r="B113">
        <f t="shared" si="3"/>
        <v>0.127</v>
      </c>
      <c r="C113">
        <v>127</v>
      </c>
      <c r="D113">
        <v>0</v>
      </c>
      <c r="E113">
        <f t="shared" si="5"/>
        <v>100.01999999999997</v>
      </c>
      <c r="F113">
        <f t="shared" si="4"/>
        <v>42.301664072919486</v>
      </c>
    </row>
    <row r="114" spans="2:6" x14ac:dyDescent="0.2">
      <c r="B114">
        <f t="shared" si="3"/>
        <v>0.14399999999999999</v>
      </c>
      <c r="C114">
        <v>144</v>
      </c>
      <c r="D114">
        <v>0</v>
      </c>
      <c r="E114">
        <f t="shared" si="5"/>
        <v>100.01999999999997</v>
      </c>
      <c r="F114">
        <f t="shared" si="4"/>
        <v>42.301664072919486</v>
      </c>
    </row>
    <row r="115" spans="2:6" x14ac:dyDescent="0.2">
      <c r="B115">
        <f t="shared" si="3"/>
        <v>0.16300000000000001</v>
      </c>
      <c r="C115">
        <v>163</v>
      </c>
      <c r="D115">
        <v>0</v>
      </c>
      <c r="E115">
        <f t="shared" si="5"/>
        <v>100.01999999999997</v>
      </c>
      <c r="F115">
        <f t="shared" si="4"/>
        <v>42.301664072919486</v>
      </c>
    </row>
    <row r="116" spans="2:6" x14ac:dyDescent="0.2">
      <c r="B116">
        <f t="shared" si="3"/>
        <v>0.186</v>
      </c>
      <c r="C116">
        <v>186</v>
      </c>
      <c r="D116">
        <v>0</v>
      </c>
      <c r="E116">
        <f t="shared" si="5"/>
        <v>100.01999999999997</v>
      </c>
      <c r="F116">
        <f t="shared" si="4"/>
        <v>42.301664072919486</v>
      </c>
    </row>
    <row r="117" spans="2:6" x14ac:dyDescent="0.2">
      <c r="B117">
        <f t="shared" si="3"/>
        <v>0.21099999999999999</v>
      </c>
      <c r="C117">
        <v>211</v>
      </c>
      <c r="D117">
        <v>0</v>
      </c>
      <c r="E117">
        <f t="shared" si="5"/>
        <v>100.01999999999997</v>
      </c>
      <c r="F117">
        <f t="shared" si="4"/>
        <v>42.301664072919486</v>
      </c>
    </row>
    <row r="118" spans="2:6" x14ac:dyDescent="0.2">
      <c r="B118">
        <f t="shared" si="3"/>
        <v>0.24</v>
      </c>
      <c r="C118">
        <v>240</v>
      </c>
      <c r="D118">
        <v>0</v>
      </c>
      <c r="E118">
        <f t="shared" si="5"/>
        <v>100.01999999999997</v>
      </c>
      <c r="F118">
        <f t="shared" si="4"/>
        <v>42.301664072919486</v>
      </c>
    </row>
    <row r="119" spans="2:6" x14ac:dyDescent="0.2">
      <c r="B119">
        <f t="shared" si="3"/>
        <v>0.27200000000000002</v>
      </c>
      <c r="C119">
        <v>272</v>
      </c>
      <c r="D119">
        <v>0</v>
      </c>
      <c r="E119">
        <f t="shared" si="5"/>
        <v>100.01999999999997</v>
      </c>
      <c r="F119">
        <f t="shared" si="4"/>
        <v>42.301664072919486</v>
      </c>
    </row>
    <row r="120" spans="2:6" x14ac:dyDescent="0.2">
      <c r="B120">
        <f t="shared" si="3"/>
        <v>0.31</v>
      </c>
      <c r="C120">
        <v>310</v>
      </c>
      <c r="D120">
        <v>0</v>
      </c>
      <c r="E120">
        <f t="shared" si="5"/>
        <v>100.01999999999997</v>
      </c>
      <c r="F120">
        <f t="shared" si="4"/>
        <v>42.301664072919486</v>
      </c>
    </row>
    <row r="121" spans="2:6" x14ac:dyDescent="0.2">
      <c r="B121">
        <f t="shared" si="3"/>
        <v>0.35199999999999998</v>
      </c>
      <c r="C121">
        <v>352</v>
      </c>
      <c r="D121">
        <v>0</v>
      </c>
      <c r="E121">
        <f t="shared" si="5"/>
        <v>100.01999999999997</v>
      </c>
      <c r="F121">
        <f t="shared" si="4"/>
        <v>42.301664072919486</v>
      </c>
    </row>
    <row r="122" spans="2:6" x14ac:dyDescent="0.2">
      <c r="B122">
        <f t="shared" ref="B122:B133" si="6">C122/1000</f>
        <v>0.4</v>
      </c>
      <c r="C122">
        <v>400</v>
      </c>
      <c r="D122">
        <v>0</v>
      </c>
      <c r="E122">
        <f t="shared" si="5"/>
        <v>100.01999999999997</v>
      </c>
      <c r="F122">
        <f t="shared" si="4"/>
        <v>42.301664072919486</v>
      </c>
    </row>
    <row r="123" spans="2:6" x14ac:dyDescent="0.2">
      <c r="B123">
        <f t="shared" si="6"/>
        <v>0.45400000000000001</v>
      </c>
      <c r="C123">
        <v>454</v>
      </c>
      <c r="D123">
        <v>0</v>
      </c>
      <c r="E123">
        <f t="shared" si="5"/>
        <v>100.01999999999997</v>
      </c>
      <c r="F123">
        <f t="shared" si="4"/>
        <v>42.301664072919486</v>
      </c>
    </row>
    <row r="124" spans="2:6" x14ac:dyDescent="0.2">
      <c r="B124">
        <f t="shared" si="6"/>
        <v>0.51600000000000001</v>
      </c>
      <c r="C124">
        <v>516</v>
      </c>
      <c r="D124">
        <v>0</v>
      </c>
      <c r="E124">
        <f t="shared" si="5"/>
        <v>100.01999999999997</v>
      </c>
      <c r="F124">
        <f t="shared" si="4"/>
        <v>42.301664072919486</v>
      </c>
    </row>
    <row r="125" spans="2:6" x14ac:dyDescent="0.2">
      <c r="B125">
        <f t="shared" si="6"/>
        <v>0.58599999999999997</v>
      </c>
      <c r="C125">
        <v>586</v>
      </c>
      <c r="D125">
        <v>0</v>
      </c>
      <c r="E125">
        <f t="shared" si="5"/>
        <v>100.01999999999997</v>
      </c>
      <c r="F125">
        <f t="shared" si="4"/>
        <v>42.301664072919486</v>
      </c>
    </row>
    <row r="126" spans="2:6" x14ac:dyDescent="0.2">
      <c r="B126">
        <f t="shared" si="6"/>
        <v>0.66600000000000004</v>
      </c>
      <c r="C126">
        <v>666</v>
      </c>
      <c r="D126">
        <v>0</v>
      </c>
      <c r="E126">
        <f t="shared" si="5"/>
        <v>100.01999999999997</v>
      </c>
      <c r="F126">
        <f t="shared" si="4"/>
        <v>42.301664072919486</v>
      </c>
    </row>
    <row r="127" spans="2:6" x14ac:dyDescent="0.2">
      <c r="B127">
        <f t="shared" si="6"/>
        <v>0.75600000000000001</v>
      </c>
      <c r="C127">
        <v>756</v>
      </c>
      <c r="D127">
        <v>0</v>
      </c>
      <c r="E127">
        <f t="shared" si="5"/>
        <v>100.01999999999997</v>
      </c>
      <c r="F127">
        <f t="shared" si="4"/>
        <v>42.301664072919486</v>
      </c>
    </row>
    <row r="128" spans="2:6" x14ac:dyDescent="0.2">
      <c r="B128">
        <f t="shared" si="6"/>
        <v>0.85899999999999999</v>
      </c>
      <c r="C128">
        <v>859</v>
      </c>
      <c r="D128">
        <v>0</v>
      </c>
      <c r="E128">
        <f t="shared" si="5"/>
        <v>100.01999999999997</v>
      </c>
      <c r="F128">
        <f t="shared" si="4"/>
        <v>42.301664072919486</v>
      </c>
    </row>
    <row r="129" spans="2:6" x14ac:dyDescent="0.2">
      <c r="B129">
        <f t="shared" si="6"/>
        <v>0.97599999999999998</v>
      </c>
      <c r="C129">
        <v>976</v>
      </c>
      <c r="D129">
        <v>0</v>
      </c>
      <c r="E129">
        <f t="shared" si="5"/>
        <v>100.01999999999997</v>
      </c>
      <c r="F129">
        <f t="shared" si="4"/>
        <v>42.301664072919486</v>
      </c>
    </row>
    <row r="130" spans="2:6" x14ac:dyDescent="0.2">
      <c r="B130">
        <f t="shared" si="6"/>
        <v>1.1100000000000001</v>
      </c>
      <c r="C130">
        <v>1110</v>
      </c>
      <c r="D130">
        <v>0</v>
      </c>
      <c r="E130">
        <f t="shared" si="5"/>
        <v>100.01999999999997</v>
      </c>
      <c r="F130">
        <f t="shared" si="4"/>
        <v>42.301664072919486</v>
      </c>
    </row>
    <row r="131" spans="2:6" x14ac:dyDescent="0.2">
      <c r="B131">
        <f t="shared" si="6"/>
        <v>1.26</v>
      </c>
      <c r="C131">
        <v>1260</v>
      </c>
      <c r="D131">
        <v>0</v>
      </c>
      <c r="E131">
        <f t="shared" si="5"/>
        <v>100.01999999999997</v>
      </c>
      <c r="F131">
        <f t="shared" si="4"/>
        <v>42.301664072919486</v>
      </c>
    </row>
    <row r="132" spans="2:6" x14ac:dyDescent="0.2">
      <c r="B132">
        <f t="shared" si="6"/>
        <v>1.43</v>
      </c>
      <c r="C132">
        <v>1430</v>
      </c>
      <c r="D132">
        <v>0</v>
      </c>
      <c r="E132">
        <f t="shared" si="5"/>
        <v>100.01999999999997</v>
      </c>
      <c r="F132">
        <f t="shared" si="4"/>
        <v>42.301664072919486</v>
      </c>
    </row>
    <row r="133" spans="2:6" x14ac:dyDescent="0.2">
      <c r="B133">
        <f t="shared" si="6"/>
        <v>1.63</v>
      </c>
      <c r="C133">
        <v>1630</v>
      </c>
      <c r="D133">
        <v>0</v>
      </c>
      <c r="E133">
        <f t="shared" si="5"/>
        <v>100.01999999999997</v>
      </c>
      <c r="F133">
        <f t="shared" si="4"/>
        <v>42.301664072919486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EEE7-8F29-4CEE-BC9B-10BC0302ED54}">
  <dimension ref="A1:J136"/>
  <sheetViews>
    <sheetView zoomScale="93" workbookViewId="0">
      <selection activeCell="I10" sqref="I10:J1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x14ac:dyDescent="0.2">
      <c r="A3" s="3" t="s">
        <v>1</v>
      </c>
      <c r="B3" s="38">
        <v>51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67</v>
      </c>
      <c r="E4" s="46" t="s">
        <v>5</v>
      </c>
      <c r="G4" s="37"/>
      <c r="I4" s="40"/>
      <c r="J4" s="40"/>
    </row>
    <row r="5" spans="1:10" x14ac:dyDescent="0.2">
      <c r="A5" s="7" t="s">
        <v>6</v>
      </c>
      <c r="B5" s="47"/>
      <c r="C5" s="44">
        <f>J11-J13</f>
        <v>35.892250089573629</v>
      </c>
      <c r="D5" s="10" t="s">
        <v>7</v>
      </c>
      <c r="E5" s="16"/>
      <c r="G5" s="37"/>
      <c r="J5" s="40"/>
    </row>
    <row r="6" spans="1:10" x14ac:dyDescent="0.2">
      <c r="A6" s="12" t="s">
        <v>8</v>
      </c>
      <c r="B6" s="19">
        <f>100-(D22/C5*100)</f>
        <v>-21.731710830427602</v>
      </c>
      <c r="C6" s="5">
        <v>0</v>
      </c>
      <c r="D6" s="13"/>
      <c r="E6" s="5"/>
      <c r="F6" s="9"/>
      <c r="I6" s="42"/>
      <c r="J6" s="40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  <c r="I7" s="42"/>
      <c r="J7" s="40"/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  <c r="I8" s="42"/>
      <c r="J8" s="40"/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  <c r="I9" s="42"/>
      <c r="J9" s="4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100.00000000000001</v>
      </c>
    </row>
    <row r="11" spans="1:10" ht="14.25" customHeight="1" x14ac:dyDescent="0.2">
      <c r="A11" s="21"/>
      <c r="B11" s="21"/>
      <c r="C11" s="21"/>
      <c r="D11" s="31">
        <f t="shared" ref="D11:D20" si="2">B11-C11</f>
        <v>0</v>
      </c>
      <c r="E11" s="28">
        <f t="shared" si="0"/>
        <v>0</v>
      </c>
      <c r="F11" s="21"/>
      <c r="G11" s="28">
        <f t="shared" si="1"/>
        <v>100.00000000000001</v>
      </c>
      <c r="J11">
        <v>42.092250089573632</v>
      </c>
    </row>
    <row r="12" spans="1:10" x14ac:dyDescent="0.2">
      <c r="A12" s="27">
        <v>2</v>
      </c>
      <c r="B12" s="28">
        <v>138.4</v>
      </c>
      <c r="C12" s="48">
        <v>136</v>
      </c>
      <c r="D12" s="34">
        <f t="shared" si="2"/>
        <v>2.4000000000000057</v>
      </c>
      <c r="E12" s="28">
        <f t="shared" si="0"/>
        <v>5.4929649882525062</v>
      </c>
      <c r="F12" s="21">
        <v>6.3</v>
      </c>
      <c r="G12" s="28">
        <f t="shared" si="1"/>
        <v>100.00000000000001</v>
      </c>
      <c r="I12" t="s">
        <v>21</v>
      </c>
      <c r="J12">
        <v>32.799999999999997</v>
      </c>
    </row>
    <row r="13" spans="1:10" x14ac:dyDescent="0.2">
      <c r="A13" s="27">
        <v>1</v>
      </c>
      <c r="B13" s="28">
        <v>119.9</v>
      </c>
      <c r="C13" s="28">
        <v>118.9</v>
      </c>
      <c r="D13" s="34">
        <f t="shared" si="2"/>
        <v>1</v>
      </c>
      <c r="E13" s="28">
        <f t="shared" si="0"/>
        <v>2.2887354117718721</v>
      </c>
      <c r="F13" s="27">
        <v>2</v>
      </c>
      <c r="G13" s="28">
        <f t="shared" si="1"/>
        <v>94.507035011747504</v>
      </c>
      <c r="I13" s="40" t="s">
        <v>22</v>
      </c>
      <c r="J13" s="40">
        <v>6.2</v>
      </c>
    </row>
    <row r="14" spans="1:10" x14ac:dyDescent="0.2">
      <c r="A14" s="27">
        <v>0.6</v>
      </c>
      <c r="B14" s="28">
        <v>118.9</v>
      </c>
      <c r="C14" s="28">
        <v>117.1</v>
      </c>
      <c r="D14" s="34">
        <f t="shared" si="2"/>
        <v>1.8000000000000114</v>
      </c>
      <c r="E14" s="28">
        <f t="shared" si="0"/>
        <v>4.1197237411893965</v>
      </c>
      <c r="F14" s="27">
        <v>1</v>
      </c>
      <c r="G14" s="28">
        <f t="shared" si="1"/>
        <v>92.218299599975637</v>
      </c>
      <c r="I14" t="s">
        <v>21</v>
      </c>
      <c r="J14" s="40">
        <f>J12-J13</f>
        <v>26.599999999999998</v>
      </c>
    </row>
    <row r="15" spans="1:10" x14ac:dyDescent="0.2">
      <c r="A15" s="27">
        <v>0.35499999999999998</v>
      </c>
      <c r="B15" s="28">
        <v>110.5</v>
      </c>
      <c r="C15" s="28">
        <v>106.8</v>
      </c>
      <c r="D15" s="34">
        <f t="shared" si="2"/>
        <v>3.7000000000000028</v>
      </c>
      <c r="E15" s="28">
        <f t="shared" si="0"/>
        <v>8.4683210235559336</v>
      </c>
      <c r="F15" s="27">
        <v>0.6</v>
      </c>
      <c r="G15" s="28">
        <f t="shared" si="1"/>
        <v>88.098575858786234</v>
      </c>
      <c r="I15" s="42" t="s">
        <v>23</v>
      </c>
      <c r="J15" s="40">
        <f>B21-C21</f>
        <v>1.6000000000000085</v>
      </c>
    </row>
    <row r="16" spans="1:10" x14ac:dyDescent="0.2">
      <c r="A16" s="27">
        <v>0.25</v>
      </c>
      <c r="B16" s="28">
        <v>109.3</v>
      </c>
      <c r="C16" s="28">
        <v>105.5</v>
      </c>
      <c r="D16" s="34">
        <f t="shared" si="2"/>
        <v>3.7999999999999972</v>
      </c>
      <c r="E16" s="28">
        <f t="shared" si="0"/>
        <v>8.6971945647331079</v>
      </c>
      <c r="F16" s="27">
        <v>0.35499999999999998</v>
      </c>
      <c r="G16" s="28">
        <f t="shared" si="1"/>
        <v>79.630254835230303</v>
      </c>
      <c r="I16" s="42" t="s">
        <v>24</v>
      </c>
      <c r="J16" s="40">
        <f>(J11-J14)+J15</f>
        <v>17.092250089573643</v>
      </c>
    </row>
    <row r="17" spans="1:10" x14ac:dyDescent="0.2">
      <c r="A17" s="27">
        <v>0.18</v>
      </c>
      <c r="B17" s="28">
        <v>107.2</v>
      </c>
      <c r="C17" s="28">
        <v>104.3</v>
      </c>
      <c r="D17" s="34">
        <f t="shared" si="2"/>
        <v>2.9000000000000057</v>
      </c>
      <c r="E17" s="28">
        <f t="shared" si="0"/>
        <v>6.6373326941384425</v>
      </c>
      <c r="F17" s="27">
        <v>0.25</v>
      </c>
      <c r="G17" s="28">
        <f t="shared" si="1"/>
        <v>70.933060270497194</v>
      </c>
      <c r="I17" s="42" t="s">
        <v>25</v>
      </c>
      <c r="J17" s="40">
        <f>C21</f>
        <v>76.599999999999994</v>
      </c>
    </row>
    <row r="18" spans="1:10" x14ac:dyDescent="0.2">
      <c r="A18" s="27">
        <v>0.125</v>
      </c>
      <c r="B18" s="28">
        <v>107.8</v>
      </c>
      <c r="C18" s="28">
        <v>103.6</v>
      </c>
      <c r="D18" s="34">
        <f t="shared" si="2"/>
        <v>4.2000000000000028</v>
      </c>
      <c r="E18" s="28">
        <f t="shared" si="0"/>
        <v>9.6126887294418708</v>
      </c>
      <c r="F18" s="27">
        <v>0.18</v>
      </c>
      <c r="G18" s="28">
        <f t="shared" si="1"/>
        <v>64.295727576358757</v>
      </c>
      <c r="I18" s="42" t="s">
        <v>26</v>
      </c>
      <c r="J18" s="40">
        <f>J16+J17</f>
        <v>93.692250089573633</v>
      </c>
    </row>
    <row r="19" spans="1:10" x14ac:dyDescent="0.2">
      <c r="A19" s="27">
        <v>0.09</v>
      </c>
      <c r="B19" s="28">
        <v>107.2</v>
      </c>
      <c r="C19" s="28">
        <v>104.4</v>
      </c>
      <c r="D19" s="34">
        <f t="shared" si="2"/>
        <v>2.7999999999999972</v>
      </c>
      <c r="E19" s="28">
        <f t="shared" si="0"/>
        <v>6.4084591529612362</v>
      </c>
      <c r="F19" s="27">
        <v>0.125</v>
      </c>
      <c r="G19" s="28">
        <f t="shared" si="1"/>
        <v>54.68303884691688</v>
      </c>
    </row>
    <row r="20" spans="1:10" x14ac:dyDescent="0.2">
      <c r="A20" s="27">
        <v>6.3E-2</v>
      </c>
      <c r="B20" s="28">
        <v>106.6</v>
      </c>
      <c r="C20" s="28">
        <v>104.2</v>
      </c>
      <c r="D20" s="34">
        <f t="shared" si="2"/>
        <v>2.3999999999999915</v>
      </c>
      <c r="E20" s="28">
        <f t="shared" si="0"/>
        <v>5.4929649882524734</v>
      </c>
      <c r="F20" s="27">
        <v>0.09</v>
      </c>
      <c r="G20" s="28">
        <f t="shared" si="1"/>
        <v>48.274579693955644</v>
      </c>
    </row>
    <row r="21" spans="1:10" x14ac:dyDescent="0.2">
      <c r="A21" s="2" t="s">
        <v>25</v>
      </c>
      <c r="B21" s="28">
        <v>78.2</v>
      </c>
      <c r="C21" s="28">
        <v>76.599999999999994</v>
      </c>
      <c r="D21" s="34">
        <f>(B21-C21)+J16</f>
        <v>18.692250089573651</v>
      </c>
      <c r="E21" s="28">
        <f t="shared" si="0"/>
        <v>42.78161470570317</v>
      </c>
      <c r="F21" s="27">
        <v>6.3E-2</v>
      </c>
      <c r="G21" s="28">
        <f>E21</f>
        <v>42.78161470570317</v>
      </c>
    </row>
    <row r="22" spans="1:10" x14ac:dyDescent="0.2">
      <c r="A22" s="2" t="s">
        <v>27</v>
      </c>
      <c r="B22" s="2"/>
      <c r="C22" s="21"/>
      <c r="D22" s="36">
        <f>SUM(D9:D21)</f>
        <v>43.692250089573662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6" spans="1:5" x14ac:dyDescent="0.2">
      <c r="A56" t="s">
        <v>71</v>
      </c>
      <c r="B56" t="s">
        <v>69</v>
      </c>
      <c r="C56" t="s">
        <v>70</v>
      </c>
    </row>
    <row r="57" spans="1:5" x14ac:dyDescent="0.2">
      <c r="A57">
        <f>B57/1000</f>
        <v>9.9500000000000006E-5</v>
      </c>
      <c r="B57">
        <v>9.9500000000000005E-2</v>
      </c>
      <c r="C57">
        <v>0</v>
      </c>
    </row>
    <row r="58" spans="1:5" x14ac:dyDescent="0.2">
      <c r="A58">
        <f t="shared" ref="A58:A121" si="3">B58/1000</f>
        <v>1.1300000000000001E-4</v>
      </c>
      <c r="B58">
        <v>0.113</v>
      </c>
      <c r="C58">
        <v>0</v>
      </c>
    </row>
    <row r="59" spans="1:5" x14ac:dyDescent="0.2">
      <c r="A59">
        <f t="shared" si="3"/>
        <v>1.2799999999999999E-4</v>
      </c>
      <c r="B59">
        <v>0.128</v>
      </c>
      <c r="C59">
        <v>0</v>
      </c>
    </row>
    <row r="60" spans="1:5" x14ac:dyDescent="0.2">
      <c r="A60">
        <f t="shared" si="3"/>
        <v>1.46E-4</v>
      </c>
      <c r="B60">
        <v>0.14599999999999999</v>
      </c>
      <c r="C60">
        <v>0</v>
      </c>
    </row>
    <row r="61" spans="1:5" x14ac:dyDescent="0.2">
      <c r="A61">
        <f t="shared" si="3"/>
        <v>1.66E-4</v>
      </c>
      <c r="B61">
        <v>0.16600000000000001</v>
      </c>
      <c r="C61">
        <v>0</v>
      </c>
    </row>
    <row r="62" spans="1:5" x14ac:dyDescent="0.2">
      <c r="A62">
        <f t="shared" si="3"/>
        <v>1.8799999999999999E-4</v>
      </c>
      <c r="B62">
        <v>0.188</v>
      </c>
      <c r="C62">
        <v>0</v>
      </c>
    </row>
    <row r="63" spans="1:5" x14ac:dyDescent="0.2">
      <c r="A63">
        <f t="shared" si="3"/>
        <v>2.14E-4</v>
      </c>
      <c r="B63">
        <v>0.214</v>
      </c>
      <c r="C63">
        <v>0</v>
      </c>
    </row>
    <row r="64" spans="1:5" x14ac:dyDescent="0.2">
      <c r="A64">
        <f t="shared" si="3"/>
        <v>2.43E-4</v>
      </c>
      <c r="B64">
        <v>0.24299999999999999</v>
      </c>
      <c r="C64">
        <v>0</v>
      </c>
    </row>
    <row r="65" spans="1:5" x14ac:dyDescent="0.2">
      <c r="A65">
        <f t="shared" si="3"/>
        <v>2.7600000000000004E-4</v>
      </c>
      <c r="B65">
        <v>0.27600000000000002</v>
      </c>
      <c r="C65">
        <v>0</v>
      </c>
    </row>
    <row r="66" spans="1:5" x14ac:dyDescent="0.2">
      <c r="A66">
        <f t="shared" si="3"/>
        <v>3.1399999999999999E-4</v>
      </c>
      <c r="B66">
        <v>0.314</v>
      </c>
      <c r="C66">
        <v>0</v>
      </c>
    </row>
    <row r="67" spans="1:5" x14ac:dyDescent="0.2">
      <c r="A67">
        <f t="shared" si="3"/>
        <v>3.57E-4</v>
      </c>
      <c r="B67">
        <v>0.35699999999999998</v>
      </c>
      <c r="C67">
        <v>0</v>
      </c>
    </row>
    <row r="68" spans="1:5" x14ac:dyDescent="0.2">
      <c r="A68">
        <f t="shared" si="3"/>
        <v>4.0500000000000003E-4</v>
      </c>
      <c r="B68">
        <v>0.40500000000000003</v>
      </c>
      <c r="C68">
        <v>0</v>
      </c>
    </row>
    <row r="69" spans="1:5" x14ac:dyDescent="0.2">
      <c r="A69">
        <f t="shared" si="3"/>
        <v>4.6000000000000001E-4</v>
      </c>
      <c r="B69">
        <v>0.46</v>
      </c>
      <c r="C69">
        <v>0</v>
      </c>
    </row>
    <row r="70" spans="1:5" x14ac:dyDescent="0.2">
      <c r="A70">
        <f t="shared" si="3"/>
        <v>5.2300000000000003E-4</v>
      </c>
      <c r="B70">
        <v>0.52300000000000002</v>
      </c>
      <c r="C70">
        <v>0</v>
      </c>
    </row>
    <row r="71" spans="1:5" x14ac:dyDescent="0.2">
      <c r="A71">
        <f t="shared" si="3"/>
        <v>5.9400000000000002E-4</v>
      </c>
      <c r="B71">
        <v>0.59399999999999997</v>
      </c>
      <c r="C71">
        <v>0</v>
      </c>
    </row>
    <row r="72" spans="1:5" x14ac:dyDescent="0.2">
      <c r="A72">
        <f t="shared" si="3"/>
        <v>6.7500000000000004E-4</v>
      </c>
      <c r="B72">
        <v>0.67500000000000004</v>
      </c>
      <c r="C72">
        <v>0</v>
      </c>
    </row>
    <row r="73" spans="1:5" x14ac:dyDescent="0.2">
      <c r="A73">
        <f t="shared" si="3"/>
        <v>7.67E-4</v>
      </c>
      <c r="B73">
        <v>0.76700000000000002</v>
      </c>
      <c r="C73">
        <v>0</v>
      </c>
    </row>
    <row r="74" spans="1:5" x14ac:dyDescent="0.2">
      <c r="A74">
        <f t="shared" si="3"/>
        <v>8.7199999999999995E-4</v>
      </c>
      <c r="B74">
        <v>0.872</v>
      </c>
      <c r="C74">
        <v>0.09</v>
      </c>
      <c r="D74">
        <f>C73+C74</f>
        <v>0.09</v>
      </c>
      <c r="E74">
        <f>(D74*$E$21)/100</f>
        <v>3.8503453235132851E-2</v>
      </c>
    </row>
    <row r="75" spans="1:5" x14ac:dyDescent="0.2">
      <c r="A75">
        <f t="shared" si="3"/>
        <v>9.9099999999999991E-4</v>
      </c>
      <c r="B75">
        <v>0.99099999999999999</v>
      </c>
      <c r="C75">
        <v>0.28999999999999998</v>
      </c>
      <c r="D75">
        <f>D74+C75</f>
        <v>0.38</v>
      </c>
      <c r="E75">
        <f t="shared" ref="E75:E136" si="4">(D75*$E$21)/100</f>
        <v>0.16257013588167205</v>
      </c>
    </row>
    <row r="76" spans="1:5" x14ac:dyDescent="0.2">
      <c r="A76">
        <f t="shared" si="3"/>
        <v>1.1299999999999999E-3</v>
      </c>
      <c r="B76">
        <v>1.1299999999999999</v>
      </c>
      <c r="C76">
        <v>0.59</v>
      </c>
      <c r="D76">
        <f t="shared" ref="D76:D136" si="5">D75+C76</f>
        <v>0.97</v>
      </c>
      <c r="E76">
        <f t="shared" si="4"/>
        <v>0.41498166264532071</v>
      </c>
    </row>
    <row r="77" spans="1:5" x14ac:dyDescent="0.2">
      <c r="A77">
        <f t="shared" si="3"/>
        <v>1.2800000000000001E-3</v>
      </c>
      <c r="B77">
        <v>1.28</v>
      </c>
      <c r="C77">
        <v>0.99</v>
      </c>
      <c r="D77">
        <f t="shared" si="5"/>
        <v>1.96</v>
      </c>
      <c r="E77">
        <f t="shared" si="4"/>
        <v>0.83851964823178204</v>
      </c>
    </row>
    <row r="78" spans="1:5" x14ac:dyDescent="0.2">
      <c r="A78">
        <f t="shared" si="3"/>
        <v>1.4499999999999999E-3</v>
      </c>
      <c r="B78">
        <v>1.45</v>
      </c>
      <c r="C78">
        <v>1.45</v>
      </c>
      <c r="D78">
        <f t="shared" si="5"/>
        <v>3.41</v>
      </c>
      <c r="E78">
        <f t="shared" si="4"/>
        <v>1.4588530614644781</v>
      </c>
    </row>
    <row r="79" spans="1:5" x14ac:dyDescent="0.2">
      <c r="A79">
        <f t="shared" si="3"/>
        <v>1.65E-3</v>
      </c>
      <c r="B79">
        <v>1.65</v>
      </c>
      <c r="C79">
        <v>1.94</v>
      </c>
      <c r="D79">
        <f t="shared" si="5"/>
        <v>5.35</v>
      </c>
      <c r="E79">
        <f t="shared" si="4"/>
        <v>2.2888163867551192</v>
      </c>
    </row>
    <row r="80" spans="1:5" x14ac:dyDescent="0.2">
      <c r="A80">
        <f t="shared" si="3"/>
        <v>1.8799999999999999E-3</v>
      </c>
      <c r="B80">
        <v>1.88</v>
      </c>
      <c r="C80">
        <v>2.41</v>
      </c>
      <c r="D80">
        <f t="shared" si="5"/>
        <v>7.76</v>
      </c>
      <c r="E80">
        <f t="shared" si="4"/>
        <v>3.3198533011625657</v>
      </c>
    </row>
    <row r="81" spans="1:5" x14ac:dyDescent="0.2">
      <c r="A81" s="51">
        <f t="shared" si="3"/>
        <v>2.1299999999999999E-3</v>
      </c>
      <c r="B81" s="51">
        <v>2.13</v>
      </c>
      <c r="C81" s="51">
        <v>2.85</v>
      </c>
      <c r="D81" s="51">
        <f t="shared" si="5"/>
        <v>10.61</v>
      </c>
      <c r="E81" s="51">
        <f t="shared" si="4"/>
        <v>4.539129320275106</v>
      </c>
    </row>
    <row r="82" spans="1:5" x14ac:dyDescent="0.2">
      <c r="A82">
        <f t="shared" si="3"/>
        <v>2.4199999999999998E-3</v>
      </c>
      <c r="B82">
        <v>2.42</v>
      </c>
      <c r="C82">
        <v>3.26</v>
      </c>
      <c r="D82">
        <f t="shared" si="5"/>
        <v>13.87</v>
      </c>
      <c r="E82">
        <f t="shared" si="4"/>
        <v>5.9338099596810299</v>
      </c>
    </row>
    <row r="83" spans="1:5" x14ac:dyDescent="0.2">
      <c r="A83">
        <f t="shared" si="3"/>
        <v>2.7499999999999998E-3</v>
      </c>
      <c r="B83">
        <v>2.75</v>
      </c>
      <c r="C83">
        <v>3.64</v>
      </c>
      <c r="D83">
        <f t="shared" si="5"/>
        <v>17.509999999999998</v>
      </c>
      <c r="E83">
        <f t="shared" si="4"/>
        <v>7.4910607349686247</v>
      </c>
    </row>
    <row r="84" spans="1:5" x14ac:dyDescent="0.2">
      <c r="A84">
        <f t="shared" si="3"/>
        <v>3.1199999999999999E-3</v>
      </c>
      <c r="B84">
        <v>3.12</v>
      </c>
      <c r="C84">
        <v>4</v>
      </c>
      <c r="D84">
        <f t="shared" si="5"/>
        <v>21.509999999999998</v>
      </c>
      <c r="E84">
        <f t="shared" si="4"/>
        <v>9.2023253231967512</v>
      </c>
    </row>
    <row r="85" spans="1:5" x14ac:dyDescent="0.2">
      <c r="A85">
        <f t="shared" si="3"/>
        <v>3.5499999999999998E-3</v>
      </c>
      <c r="B85">
        <v>3.55</v>
      </c>
      <c r="C85">
        <v>4.3499999999999996</v>
      </c>
      <c r="D85">
        <f t="shared" si="5"/>
        <v>25.86</v>
      </c>
      <c r="E85">
        <f t="shared" si="4"/>
        <v>11.063325562894841</v>
      </c>
    </row>
    <row r="86" spans="1:5" x14ac:dyDescent="0.2">
      <c r="A86">
        <f t="shared" si="3"/>
        <v>4.0300000000000006E-3</v>
      </c>
      <c r="B86">
        <v>4.03</v>
      </c>
      <c r="C86">
        <v>4.66</v>
      </c>
      <c r="D86">
        <f t="shared" si="5"/>
        <v>30.52</v>
      </c>
      <c r="E86">
        <f t="shared" si="4"/>
        <v>13.056948808180607</v>
      </c>
    </row>
    <row r="87" spans="1:5" x14ac:dyDescent="0.2">
      <c r="A87">
        <f t="shared" si="3"/>
        <v>4.5799999999999999E-3</v>
      </c>
      <c r="B87">
        <v>4.58</v>
      </c>
      <c r="C87">
        <v>4.93</v>
      </c>
      <c r="D87">
        <f t="shared" si="5"/>
        <v>35.450000000000003</v>
      </c>
      <c r="E87">
        <f t="shared" si="4"/>
        <v>15.166082413171775</v>
      </c>
    </row>
    <row r="88" spans="1:5" x14ac:dyDescent="0.2">
      <c r="A88">
        <f t="shared" si="3"/>
        <v>5.2100000000000002E-3</v>
      </c>
      <c r="B88">
        <v>5.21</v>
      </c>
      <c r="C88">
        <v>5.13</v>
      </c>
      <c r="D88">
        <f t="shared" si="5"/>
        <v>40.580000000000005</v>
      </c>
      <c r="E88">
        <f t="shared" si="4"/>
        <v>17.360779247574349</v>
      </c>
    </row>
    <row r="89" spans="1:5" x14ac:dyDescent="0.2">
      <c r="A89">
        <f t="shared" si="3"/>
        <v>5.9199999999999999E-3</v>
      </c>
      <c r="B89">
        <v>5.92</v>
      </c>
      <c r="C89">
        <v>5.27</v>
      </c>
      <c r="D89">
        <f t="shared" si="5"/>
        <v>45.850000000000009</v>
      </c>
      <c r="E89">
        <f t="shared" si="4"/>
        <v>19.615370342564905</v>
      </c>
    </row>
    <row r="90" spans="1:5" x14ac:dyDescent="0.2">
      <c r="A90">
        <f t="shared" si="3"/>
        <v>6.7199999999999994E-3</v>
      </c>
      <c r="B90">
        <v>6.72</v>
      </c>
      <c r="C90">
        <v>5.34</v>
      </c>
      <c r="D90">
        <f t="shared" si="5"/>
        <v>51.190000000000012</v>
      </c>
      <c r="E90">
        <f t="shared" si="4"/>
        <v>21.899908567849458</v>
      </c>
    </row>
    <row r="91" spans="1:5" x14ac:dyDescent="0.2">
      <c r="A91">
        <f t="shared" si="3"/>
        <v>7.6400000000000001E-3</v>
      </c>
      <c r="B91">
        <v>7.64</v>
      </c>
      <c r="C91">
        <v>5.33</v>
      </c>
      <c r="D91">
        <f t="shared" si="5"/>
        <v>56.52000000000001</v>
      </c>
      <c r="E91">
        <f t="shared" si="4"/>
        <v>24.180168631663438</v>
      </c>
    </row>
    <row r="92" spans="1:5" x14ac:dyDescent="0.2">
      <c r="A92">
        <f t="shared" si="3"/>
        <v>8.6800000000000002E-3</v>
      </c>
      <c r="B92">
        <v>8.68</v>
      </c>
      <c r="C92">
        <v>5.24</v>
      </c>
      <c r="D92">
        <f t="shared" si="5"/>
        <v>61.760000000000012</v>
      </c>
      <c r="E92">
        <f t="shared" si="4"/>
        <v>26.421925242242281</v>
      </c>
    </row>
    <row r="93" spans="1:5" x14ac:dyDescent="0.2">
      <c r="A93">
        <f t="shared" si="3"/>
        <v>9.859999999999999E-3</v>
      </c>
      <c r="B93">
        <v>9.86</v>
      </c>
      <c r="C93">
        <v>5.08</v>
      </c>
      <c r="D93">
        <f t="shared" si="5"/>
        <v>66.840000000000018</v>
      </c>
      <c r="E93">
        <f t="shared" si="4"/>
        <v>28.595231269292007</v>
      </c>
    </row>
    <row r="94" spans="1:5" x14ac:dyDescent="0.2">
      <c r="A94">
        <f t="shared" si="3"/>
        <v>1.12E-2</v>
      </c>
      <c r="B94">
        <v>11.2</v>
      </c>
      <c r="C94">
        <v>4.8499999999999996</v>
      </c>
      <c r="D94">
        <f t="shared" si="5"/>
        <v>71.690000000000012</v>
      </c>
      <c r="E94">
        <f t="shared" si="4"/>
        <v>30.670139582518608</v>
      </c>
    </row>
    <row r="95" spans="1:5" x14ac:dyDescent="0.2">
      <c r="A95">
        <f t="shared" si="3"/>
        <v>1.2699999999999999E-2</v>
      </c>
      <c r="B95">
        <v>12.7</v>
      </c>
      <c r="C95">
        <v>4.5599999999999996</v>
      </c>
      <c r="D95">
        <f t="shared" si="5"/>
        <v>76.250000000000014</v>
      </c>
      <c r="E95">
        <f t="shared" si="4"/>
        <v>32.620981213098673</v>
      </c>
    </row>
    <row r="96" spans="1:5" x14ac:dyDescent="0.2">
      <c r="A96">
        <f t="shared" si="3"/>
        <v>1.4500000000000001E-2</v>
      </c>
      <c r="B96">
        <v>14.5</v>
      </c>
      <c r="C96">
        <v>4.22</v>
      </c>
      <c r="D96">
        <f t="shared" si="5"/>
        <v>80.470000000000013</v>
      </c>
      <c r="E96">
        <f t="shared" si="4"/>
        <v>34.426365353679351</v>
      </c>
    </row>
    <row r="97" spans="1:5" x14ac:dyDescent="0.2">
      <c r="A97">
        <f t="shared" si="3"/>
        <v>1.6399999999999998E-2</v>
      </c>
      <c r="B97">
        <v>16.399999999999999</v>
      </c>
      <c r="C97">
        <v>3.83</v>
      </c>
      <c r="D97">
        <f t="shared" si="5"/>
        <v>84.300000000000011</v>
      </c>
      <c r="E97">
        <f t="shared" si="4"/>
        <v>36.064901196907776</v>
      </c>
    </row>
    <row r="98" spans="1:5" x14ac:dyDescent="0.2">
      <c r="A98">
        <f t="shared" si="3"/>
        <v>1.8699999999999998E-2</v>
      </c>
      <c r="B98">
        <v>18.7</v>
      </c>
      <c r="C98">
        <v>3.4</v>
      </c>
      <c r="D98">
        <f t="shared" si="5"/>
        <v>87.700000000000017</v>
      </c>
      <c r="E98">
        <f t="shared" si="4"/>
        <v>37.519476096901684</v>
      </c>
    </row>
    <row r="99" spans="1:5" x14ac:dyDescent="0.2">
      <c r="A99">
        <f t="shared" si="3"/>
        <v>2.12E-2</v>
      </c>
      <c r="B99">
        <v>21.2</v>
      </c>
      <c r="C99">
        <v>2.93</v>
      </c>
      <c r="D99">
        <f t="shared" si="5"/>
        <v>90.630000000000024</v>
      </c>
      <c r="E99">
        <f t="shared" si="4"/>
        <v>38.772977407778797</v>
      </c>
    </row>
    <row r="100" spans="1:5" x14ac:dyDescent="0.2">
      <c r="A100">
        <f t="shared" si="3"/>
        <v>2.41E-2</v>
      </c>
      <c r="B100">
        <v>24.1</v>
      </c>
      <c r="C100">
        <v>2.46</v>
      </c>
      <c r="D100">
        <f t="shared" si="5"/>
        <v>93.090000000000018</v>
      </c>
      <c r="E100">
        <f t="shared" si="4"/>
        <v>39.825405129539092</v>
      </c>
    </row>
    <row r="101" spans="1:5" x14ac:dyDescent="0.2">
      <c r="A101">
        <f t="shared" si="3"/>
        <v>2.7399999999999997E-2</v>
      </c>
      <c r="B101">
        <v>27.4</v>
      </c>
      <c r="C101">
        <v>1.99</v>
      </c>
      <c r="D101">
        <f t="shared" si="5"/>
        <v>95.080000000000013</v>
      </c>
      <c r="E101">
        <f t="shared" si="4"/>
        <v>40.676759262182578</v>
      </c>
    </row>
    <row r="102" spans="1:5" x14ac:dyDescent="0.2">
      <c r="A102">
        <f t="shared" si="3"/>
        <v>3.1100000000000003E-2</v>
      </c>
      <c r="B102">
        <v>31.1</v>
      </c>
      <c r="C102">
        <v>1.54</v>
      </c>
      <c r="D102">
        <f t="shared" si="5"/>
        <v>96.620000000000019</v>
      </c>
      <c r="E102">
        <f t="shared" si="4"/>
        <v>41.335596128650415</v>
      </c>
    </row>
    <row r="103" spans="1:5" x14ac:dyDescent="0.2">
      <c r="A103">
        <f t="shared" si="3"/>
        <v>3.5299999999999998E-2</v>
      </c>
      <c r="B103">
        <v>35.299999999999997</v>
      </c>
      <c r="C103">
        <v>1.1499999999999999</v>
      </c>
      <c r="D103">
        <f t="shared" si="5"/>
        <v>97.770000000000024</v>
      </c>
      <c r="E103">
        <f t="shared" si="4"/>
        <v>41.827584697766</v>
      </c>
    </row>
    <row r="104" spans="1:5" x14ac:dyDescent="0.2">
      <c r="A104">
        <f t="shared" si="3"/>
        <v>4.0100000000000004E-2</v>
      </c>
      <c r="B104">
        <v>40.1</v>
      </c>
      <c r="C104">
        <v>0.82</v>
      </c>
      <c r="D104">
        <f t="shared" si="5"/>
        <v>98.590000000000018</v>
      </c>
      <c r="E104">
        <f t="shared" si="4"/>
        <v>42.178393938352762</v>
      </c>
    </row>
    <row r="105" spans="1:5" x14ac:dyDescent="0.2">
      <c r="A105">
        <f t="shared" si="3"/>
        <v>4.5600000000000002E-2</v>
      </c>
      <c r="B105">
        <v>45.6</v>
      </c>
      <c r="C105">
        <v>0.56999999999999995</v>
      </c>
      <c r="D105">
        <f t="shared" si="5"/>
        <v>99.160000000000011</v>
      </c>
      <c r="E105">
        <f t="shared" si="4"/>
        <v>42.422249142175268</v>
      </c>
    </row>
    <row r="106" spans="1:5" x14ac:dyDescent="0.2">
      <c r="A106">
        <f t="shared" si="3"/>
        <v>5.1799999999999999E-2</v>
      </c>
      <c r="B106">
        <v>51.8</v>
      </c>
      <c r="C106">
        <v>0.38</v>
      </c>
      <c r="D106">
        <f t="shared" si="5"/>
        <v>99.54</v>
      </c>
      <c r="E106">
        <f t="shared" si="4"/>
        <v>42.584819278056941</v>
      </c>
    </row>
    <row r="107" spans="1:5" x14ac:dyDescent="0.2">
      <c r="A107">
        <f t="shared" si="3"/>
        <v>5.8900000000000001E-2</v>
      </c>
      <c r="B107">
        <v>58.9</v>
      </c>
      <c r="C107">
        <v>0.24</v>
      </c>
      <c r="D107">
        <f t="shared" si="5"/>
        <v>99.78</v>
      </c>
      <c r="E107">
        <f t="shared" si="4"/>
        <v>42.687495153350618</v>
      </c>
    </row>
    <row r="108" spans="1:5" x14ac:dyDescent="0.2">
      <c r="A108">
        <f t="shared" si="3"/>
        <v>6.6900000000000001E-2</v>
      </c>
      <c r="B108">
        <v>66.900000000000006</v>
      </c>
      <c r="C108">
        <v>0.14000000000000001</v>
      </c>
      <c r="D108">
        <f t="shared" si="5"/>
        <v>99.92</v>
      </c>
      <c r="E108">
        <f t="shared" si="4"/>
        <v>42.747389413938606</v>
      </c>
    </row>
    <row r="109" spans="1:5" x14ac:dyDescent="0.2">
      <c r="A109">
        <f t="shared" si="3"/>
        <v>7.5999999999999998E-2</v>
      </c>
      <c r="B109">
        <v>76</v>
      </c>
      <c r="C109">
        <v>0.06</v>
      </c>
      <c r="D109">
        <f t="shared" si="5"/>
        <v>99.98</v>
      </c>
      <c r="E109">
        <f t="shared" si="4"/>
        <v>42.773058382762031</v>
      </c>
    </row>
    <row r="110" spans="1:5" x14ac:dyDescent="0.2">
      <c r="A110">
        <f t="shared" si="3"/>
        <v>8.6400000000000005E-2</v>
      </c>
      <c r="B110">
        <v>86.4</v>
      </c>
      <c r="C110">
        <v>0</v>
      </c>
      <c r="D110">
        <f t="shared" si="5"/>
        <v>99.98</v>
      </c>
      <c r="E110">
        <f t="shared" si="4"/>
        <v>42.773058382762031</v>
      </c>
    </row>
    <row r="111" spans="1:5" x14ac:dyDescent="0.2">
      <c r="A111">
        <f t="shared" si="3"/>
        <v>9.8099999999999993E-2</v>
      </c>
      <c r="B111">
        <v>98.1</v>
      </c>
      <c r="C111">
        <v>0</v>
      </c>
      <c r="D111">
        <f t="shared" si="5"/>
        <v>99.98</v>
      </c>
      <c r="E111">
        <f t="shared" si="4"/>
        <v>42.773058382762031</v>
      </c>
    </row>
    <row r="112" spans="1:5" x14ac:dyDescent="0.2">
      <c r="A112">
        <f t="shared" si="3"/>
        <v>0.111</v>
      </c>
      <c r="B112">
        <v>111</v>
      </c>
      <c r="C112">
        <v>0</v>
      </c>
      <c r="D112">
        <f t="shared" si="5"/>
        <v>99.98</v>
      </c>
      <c r="E112">
        <f t="shared" si="4"/>
        <v>42.773058382762031</v>
      </c>
    </row>
    <row r="113" spans="1:5" x14ac:dyDescent="0.2">
      <c r="A113">
        <f t="shared" si="3"/>
        <v>0.127</v>
      </c>
      <c r="B113">
        <v>127</v>
      </c>
      <c r="C113">
        <v>0</v>
      </c>
      <c r="D113">
        <f t="shared" si="5"/>
        <v>99.98</v>
      </c>
      <c r="E113">
        <f t="shared" si="4"/>
        <v>42.773058382762031</v>
      </c>
    </row>
    <row r="114" spans="1:5" x14ac:dyDescent="0.2">
      <c r="A114">
        <f t="shared" si="3"/>
        <v>0.14399999999999999</v>
      </c>
      <c r="B114">
        <v>144</v>
      </c>
      <c r="C114">
        <v>0</v>
      </c>
      <c r="D114">
        <f t="shared" si="5"/>
        <v>99.98</v>
      </c>
      <c r="E114">
        <f t="shared" si="4"/>
        <v>42.773058382762031</v>
      </c>
    </row>
    <row r="115" spans="1:5" x14ac:dyDescent="0.2">
      <c r="A115">
        <f t="shared" si="3"/>
        <v>0.16300000000000001</v>
      </c>
      <c r="B115">
        <v>163</v>
      </c>
      <c r="C115">
        <v>0</v>
      </c>
      <c r="D115">
        <f t="shared" si="5"/>
        <v>99.98</v>
      </c>
      <c r="E115">
        <f t="shared" si="4"/>
        <v>42.773058382762031</v>
      </c>
    </row>
    <row r="116" spans="1:5" x14ac:dyDescent="0.2">
      <c r="A116">
        <f t="shared" si="3"/>
        <v>0.186</v>
      </c>
      <c r="B116">
        <v>186</v>
      </c>
      <c r="C116">
        <v>0</v>
      </c>
      <c r="D116">
        <f t="shared" si="5"/>
        <v>99.98</v>
      </c>
      <c r="E116">
        <f t="shared" si="4"/>
        <v>42.773058382762031</v>
      </c>
    </row>
    <row r="117" spans="1:5" x14ac:dyDescent="0.2">
      <c r="A117">
        <f t="shared" si="3"/>
        <v>0.21099999999999999</v>
      </c>
      <c r="B117">
        <v>211</v>
      </c>
      <c r="C117">
        <v>0</v>
      </c>
      <c r="D117">
        <f t="shared" si="5"/>
        <v>99.98</v>
      </c>
      <c r="E117">
        <f t="shared" si="4"/>
        <v>42.773058382762031</v>
      </c>
    </row>
    <row r="118" spans="1:5" x14ac:dyDescent="0.2">
      <c r="A118">
        <f t="shared" si="3"/>
        <v>0.24</v>
      </c>
      <c r="B118">
        <v>240</v>
      </c>
      <c r="C118">
        <v>0</v>
      </c>
      <c r="D118">
        <f t="shared" si="5"/>
        <v>99.98</v>
      </c>
      <c r="E118">
        <f t="shared" si="4"/>
        <v>42.773058382762031</v>
      </c>
    </row>
    <row r="119" spans="1:5" x14ac:dyDescent="0.2">
      <c r="A119">
        <f t="shared" si="3"/>
        <v>0.27200000000000002</v>
      </c>
      <c r="B119">
        <v>272</v>
      </c>
      <c r="C119">
        <v>0</v>
      </c>
      <c r="D119">
        <f t="shared" si="5"/>
        <v>99.98</v>
      </c>
      <c r="E119">
        <f t="shared" si="4"/>
        <v>42.773058382762031</v>
      </c>
    </row>
    <row r="120" spans="1:5" x14ac:dyDescent="0.2">
      <c r="A120">
        <f t="shared" si="3"/>
        <v>0.31</v>
      </c>
      <c r="B120">
        <v>310</v>
      </c>
      <c r="C120">
        <v>0</v>
      </c>
      <c r="D120">
        <f t="shared" si="5"/>
        <v>99.98</v>
      </c>
      <c r="E120">
        <f t="shared" si="4"/>
        <v>42.773058382762031</v>
      </c>
    </row>
    <row r="121" spans="1:5" x14ac:dyDescent="0.2">
      <c r="A121">
        <f t="shared" si="3"/>
        <v>0.35199999999999998</v>
      </c>
      <c r="B121">
        <v>352</v>
      </c>
      <c r="C121">
        <v>0</v>
      </c>
      <c r="D121">
        <f t="shared" si="5"/>
        <v>99.98</v>
      </c>
      <c r="E121">
        <f t="shared" si="4"/>
        <v>42.773058382762031</v>
      </c>
    </row>
    <row r="122" spans="1:5" x14ac:dyDescent="0.2">
      <c r="A122">
        <f t="shared" ref="A122:A136" si="6">B122/1000</f>
        <v>0.4</v>
      </c>
      <c r="B122">
        <v>400</v>
      </c>
      <c r="C122">
        <v>0</v>
      </c>
      <c r="D122">
        <f t="shared" si="5"/>
        <v>99.98</v>
      </c>
      <c r="E122">
        <f t="shared" si="4"/>
        <v>42.773058382762031</v>
      </c>
    </row>
    <row r="123" spans="1:5" x14ac:dyDescent="0.2">
      <c r="A123">
        <f t="shared" si="6"/>
        <v>0.45400000000000001</v>
      </c>
      <c r="B123">
        <v>454</v>
      </c>
      <c r="C123">
        <v>0</v>
      </c>
      <c r="D123">
        <f t="shared" si="5"/>
        <v>99.98</v>
      </c>
      <c r="E123">
        <f t="shared" si="4"/>
        <v>42.773058382762031</v>
      </c>
    </row>
    <row r="124" spans="1:5" x14ac:dyDescent="0.2">
      <c r="A124">
        <f t="shared" si="6"/>
        <v>0.51600000000000001</v>
      </c>
      <c r="B124">
        <v>516</v>
      </c>
      <c r="C124">
        <v>0</v>
      </c>
      <c r="D124">
        <f t="shared" si="5"/>
        <v>99.98</v>
      </c>
      <c r="E124">
        <f t="shared" si="4"/>
        <v>42.773058382762031</v>
      </c>
    </row>
    <row r="125" spans="1:5" x14ac:dyDescent="0.2">
      <c r="A125">
        <f t="shared" si="6"/>
        <v>0.58599999999999997</v>
      </c>
      <c r="B125">
        <v>586</v>
      </c>
      <c r="C125">
        <v>0</v>
      </c>
      <c r="D125">
        <f t="shared" si="5"/>
        <v>99.98</v>
      </c>
      <c r="E125">
        <f t="shared" si="4"/>
        <v>42.773058382762031</v>
      </c>
    </row>
    <row r="126" spans="1:5" x14ac:dyDescent="0.2">
      <c r="A126">
        <f t="shared" si="6"/>
        <v>0.66600000000000004</v>
      </c>
      <c r="B126">
        <v>666</v>
      </c>
      <c r="C126">
        <v>0</v>
      </c>
      <c r="D126">
        <f t="shared" si="5"/>
        <v>99.98</v>
      </c>
      <c r="E126">
        <f t="shared" si="4"/>
        <v>42.773058382762031</v>
      </c>
    </row>
    <row r="127" spans="1:5" x14ac:dyDescent="0.2">
      <c r="A127">
        <f t="shared" si="6"/>
        <v>0.75600000000000001</v>
      </c>
      <c r="B127">
        <v>756</v>
      </c>
      <c r="C127">
        <v>0</v>
      </c>
      <c r="D127">
        <f t="shared" si="5"/>
        <v>99.98</v>
      </c>
      <c r="E127">
        <f t="shared" si="4"/>
        <v>42.773058382762031</v>
      </c>
    </row>
    <row r="128" spans="1:5" x14ac:dyDescent="0.2">
      <c r="A128">
        <f t="shared" si="6"/>
        <v>0.85899999999999999</v>
      </c>
      <c r="B128">
        <v>859</v>
      </c>
      <c r="C128">
        <v>0</v>
      </c>
      <c r="D128">
        <f t="shared" si="5"/>
        <v>99.98</v>
      </c>
      <c r="E128">
        <f t="shared" si="4"/>
        <v>42.773058382762031</v>
      </c>
    </row>
    <row r="129" spans="1:5" x14ac:dyDescent="0.2">
      <c r="A129">
        <f t="shared" si="6"/>
        <v>0.97599999999999998</v>
      </c>
      <c r="B129">
        <v>976</v>
      </c>
      <c r="C129">
        <v>0</v>
      </c>
      <c r="D129">
        <f t="shared" si="5"/>
        <v>99.98</v>
      </c>
      <c r="E129">
        <f t="shared" si="4"/>
        <v>42.773058382762031</v>
      </c>
    </row>
    <row r="130" spans="1:5" x14ac:dyDescent="0.2">
      <c r="A130">
        <f t="shared" si="6"/>
        <v>1.1100000000000001</v>
      </c>
      <c r="B130">
        <v>1110</v>
      </c>
      <c r="C130">
        <v>0</v>
      </c>
      <c r="D130">
        <f t="shared" si="5"/>
        <v>99.98</v>
      </c>
      <c r="E130">
        <f t="shared" si="4"/>
        <v>42.773058382762031</v>
      </c>
    </row>
    <row r="131" spans="1:5" x14ac:dyDescent="0.2">
      <c r="A131">
        <f t="shared" si="6"/>
        <v>1.26</v>
      </c>
      <c r="B131">
        <v>1260</v>
      </c>
      <c r="C131">
        <v>0</v>
      </c>
      <c r="D131">
        <f t="shared" si="5"/>
        <v>99.98</v>
      </c>
      <c r="E131">
        <f t="shared" si="4"/>
        <v>42.773058382762031</v>
      </c>
    </row>
    <row r="132" spans="1:5" x14ac:dyDescent="0.2">
      <c r="A132">
        <f t="shared" si="6"/>
        <v>1.43</v>
      </c>
      <c r="B132">
        <v>1430</v>
      </c>
      <c r="C132">
        <v>0</v>
      </c>
      <c r="D132">
        <f t="shared" si="5"/>
        <v>99.98</v>
      </c>
      <c r="E132">
        <f t="shared" si="4"/>
        <v>42.773058382762031</v>
      </c>
    </row>
    <row r="133" spans="1:5" x14ac:dyDescent="0.2">
      <c r="A133">
        <f t="shared" si="6"/>
        <v>1.63</v>
      </c>
      <c r="B133">
        <v>1630</v>
      </c>
      <c r="C133">
        <v>0</v>
      </c>
      <c r="D133">
        <f t="shared" si="5"/>
        <v>99.98</v>
      </c>
      <c r="E133">
        <f t="shared" si="4"/>
        <v>42.773058382762031</v>
      </c>
    </row>
    <row r="134" spans="1:5" x14ac:dyDescent="0.2">
      <c r="A134">
        <f t="shared" si="6"/>
        <v>1.85</v>
      </c>
      <c r="B134">
        <v>1850</v>
      </c>
      <c r="C134">
        <v>0</v>
      </c>
      <c r="D134">
        <f t="shared" si="5"/>
        <v>99.98</v>
      </c>
      <c r="E134">
        <f t="shared" si="4"/>
        <v>42.773058382762031</v>
      </c>
    </row>
    <row r="135" spans="1:5" x14ac:dyDescent="0.2">
      <c r="A135">
        <f t="shared" si="6"/>
        <v>2.1</v>
      </c>
      <c r="B135">
        <v>2100</v>
      </c>
      <c r="C135">
        <v>0</v>
      </c>
      <c r="D135">
        <f t="shared" si="5"/>
        <v>99.98</v>
      </c>
      <c r="E135">
        <f t="shared" si="4"/>
        <v>42.773058382762031</v>
      </c>
    </row>
    <row r="136" spans="1:5" x14ac:dyDescent="0.2">
      <c r="A136">
        <f t="shared" si="6"/>
        <v>2.39</v>
      </c>
      <c r="B136">
        <v>2390</v>
      </c>
      <c r="C136">
        <v>0</v>
      </c>
      <c r="D136">
        <f t="shared" si="5"/>
        <v>99.98</v>
      </c>
      <c r="E136">
        <f t="shared" si="4"/>
        <v>42.773058382762031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54BE-19AD-4989-8081-A8DC572F44F1}">
  <dimension ref="A1:J135"/>
  <sheetViews>
    <sheetView zoomScale="93" workbookViewId="0">
      <selection activeCell="J55" sqref="J55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x14ac:dyDescent="0.2">
      <c r="A3" s="3" t="s">
        <v>1</v>
      </c>
      <c r="B3" s="38">
        <v>53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67</v>
      </c>
      <c r="E4" s="46" t="s">
        <v>5</v>
      </c>
      <c r="G4" s="37"/>
      <c r="I4" s="40"/>
      <c r="J4" s="40"/>
    </row>
    <row r="5" spans="1:10" x14ac:dyDescent="0.2">
      <c r="A5" s="7" t="s">
        <v>6</v>
      </c>
      <c r="B5" s="47"/>
      <c r="C5" s="44">
        <f>J11-J13</f>
        <v>25.547707423580786</v>
      </c>
      <c r="D5" s="10" t="s">
        <v>7</v>
      </c>
      <c r="E5" s="16"/>
      <c r="G5" s="37"/>
      <c r="J5" s="40"/>
    </row>
    <row r="6" spans="1:10" x14ac:dyDescent="0.2">
      <c r="A6" s="12" t="s">
        <v>8</v>
      </c>
      <c r="B6" s="19">
        <f>100-(D22/C5*100)</f>
        <v>-28.573992487725263</v>
      </c>
      <c r="C6" s="5">
        <v>0</v>
      </c>
      <c r="D6" s="13"/>
      <c r="E6" s="5"/>
      <c r="F6" s="9"/>
      <c r="I6" s="42"/>
      <c r="J6" s="40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  <c r="I7" s="42"/>
      <c r="J7" s="40"/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  <c r="I8" s="42"/>
      <c r="J8" s="40"/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  <c r="I9" s="42"/>
      <c r="J9" s="4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99.999999999999986</v>
      </c>
    </row>
    <row r="11" spans="1:10" ht="14.25" customHeight="1" x14ac:dyDescent="0.2">
      <c r="A11" s="21"/>
      <c r="B11" s="21"/>
      <c r="C11" s="21"/>
      <c r="D11" s="31">
        <f t="shared" ref="D11:D20" si="2">B11-C11</f>
        <v>0</v>
      </c>
      <c r="E11" s="28">
        <f t="shared" si="0"/>
        <v>0</v>
      </c>
      <c r="F11" s="21"/>
      <c r="G11" s="28">
        <f t="shared" si="1"/>
        <v>99.999999999999986</v>
      </c>
      <c r="I11" s="41" t="s">
        <v>20</v>
      </c>
      <c r="J11">
        <v>31.847707423580786</v>
      </c>
    </row>
    <row r="12" spans="1:10" x14ac:dyDescent="0.2">
      <c r="A12" s="27">
        <v>2</v>
      </c>
      <c r="B12" s="28">
        <v>136.80000000000001</v>
      </c>
      <c r="C12" s="48">
        <v>136</v>
      </c>
      <c r="D12" s="34">
        <f t="shared" si="2"/>
        <v>0.80000000000001137</v>
      </c>
      <c r="E12" s="28">
        <f t="shared" si="0"/>
        <v>2.4354819947820943</v>
      </c>
      <c r="F12" s="21">
        <v>6.3</v>
      </c>
      <c r="G12" s="28">
        <f t="shared" si="1"/>
        <v>99.999999999999986</v>
      </c>
      <c r="I12" t="s">
        <v>21</v>
      </c>
      <c r="J12">
        <v>25.9</v>
      </c>
    </row>
    <row r="13" spans="1:10" x14ac:dyDescent="0.2">
      <c r="A13" s="27">
        <v>1</v>
      </c>
      <c r="B13" s="28">
        <v>119.6</v>
      </c>
      <c r="C13" s="28">
        <v>118.8</v>
      </c>
      <c r="D13" s="34">
        <f t="shared" si="2"/>
        <v>0.79999999999999716</v>
      </c>
      <c r="E13" s="28">
        <f t="shared" si="0"/>
        <v>2.4354819947820507</v>
      </c>
      <c r="F13" s="27">
        <v>2</v>
      </c>
      <c r="G13" s="28">
        <f t="shared" si="1"/>
        <v>97.564518005217892</v>
      </c>
      <c r="I13" s="40" t="s">
        <v>22</v>
      </c>
      <c r="J13" s="40">
        <v>6.3</v>
      </c>
    </row>
    <row r="14" spans="1:10" x14ac:dyDescent="0.2">
      <c r="A14" s="27">
        <v>0.6</v>
      </c>
      <c r="B14" s="28">
        <v>118.5</v>
      </c>
      <c r="C14" s="28">
        <v>117.3</v>
      </c>
      <c r="D14" s="34">
        <f t="shared" si="2"/>
        <v>1.2000000000000028</v>
      </c>
      <c r="E14" s="28">
        <f t="shared" si="0"/>
        <v>3.6532229921730983</v>
      </c>
      <c r="F14" s="27">
        <v>1</v>
      </c>
      <c r="G14" s="28">
        <f t="shared" si="1"/>
        <v>95.12903601043584</v>
      </c>
      <c r="I14" t="s">
        <v>21</v>
      </c>
      <c r="J14" s="40">
        <f>J12-J13</f>
        <v>19.599999999999998</v>
      </c>
    </row>
    <row r="15" spans="1:10" x14ac:dyDescent="0.2">
      <c r="A15" s="27">
        <v>0.35499999999999998</v>
      </c>
      <c r="B15" s="28">
        <v>109.8</v>
      </c>
      <c r="C15" s="28">
        <v>106.9</v>
      </c>
      <c r="D15" s="34">
        <f t="shared" si="2"/>
        <v>2.8999999999999915</v>
      </c>
      <c r="E15" s="28">
        <f t="shared" si="0"/>
        <v>8.8286222310849407</v>
      </c>
      <c r="F15" s="27">
        <v>0.6</v>
      </c>
      <c r="G15" s="28">
        <f t="shared" si="1"/>
        <v>91.475813018262741</v>
      </c>
      <c r="I15" s="42" t="s">
        <v>23</v>
      </c>
      <c r="J15" s="40">
        <f>B21-C21</f>
        <v>1</v>
      </c>
    </row>
    <row r="16" spans="1:10" x14ac:dyDescent="0.2">
      <c r="A16" s="27">
        <v>0.25</v>
      </c>
      <c r="B16" s="28">
        <v>108.6</v>
      </c>
      <c r="C16" s="28">
        <v>105.5</v>
      </c>
      <c r="D16" s="34">
        <f t="shared" si="2"/>
        <v>3.0999999999999943</v>
      </c>
      <c r="E16" s="28">
        <f t="shared" si="0"/>
        <v>9.4374927297804643</v>
      </c>
      <c r="F16" s="27">
        <v>0.35499999999999998</v>
      </c>
      <c r="G16" s="28">
        <f t="shared" si="1"/>
        <v>82.647190787177806</v>
      </c>
      <c r="I16" s="42" t="s">
        <v>24</v>
      </c>
      <c r="J16" s="40">
        <f>(J11-J14)+J15</f>
        <v>13.247707423580788</v>
      </c>
    </row>
    <row r="17" spans="1:10" x14ac:dyDescent="0.2">
      <c r="A17" s="27">
        <v>0.18</v>
      </c>
      <c r="B17" s="28">
        <v>106.5</v>
      </c>
      <c r="C17" s="28">
        <v>104.3</v>
      </c>
      <c r="D17" s="34">
        <f t="shared" si="2"/>
        <v>2.2000000000000028</v>
      </c>
      <c r="E17" s="28">
        <f t="shared" si="0"/>
        <v>6.6975754856506722</v>
      </c>
      <c r="F17" s="27">
        <v>0.25</v>
      </c>
      <c r="G17" s="28">
        <f t="shared" si="1"/>
        <v>73.209698057397347</v>
      </c>
      <c r="I17" s="42" t="s">
        <v>25</v>
      </c>
      <c r="J17" s="40">
        <f>C21</f>
        <v>76.7</v>
      </c>
    </row>
    <row r="18" spans="1:10" x14ac:dyDescent="0.2">
      <c r="A18" s="27">
        <v>0.125</v>
      </c>
      <c r="B18" s="28">
        <v>106.9</v>
      </c>
      <c r="C18" s="28">
        <v>103.5</v>
      </c>
      <c r="D18" s="34">
        <f t="shared" si="2"/>
        <v>3.4000000000000057</v>
      </c>
      <c r="E18" s="28">
        <f t="shared" si="0"/>
        <v>10.350798477823771</v>
      </c>
      <c r="F18" s="27">
        <v>0.18</v>
      </c>
      <c r="G18" s="28">
        <f t="shared" si="1"/>
        <v>66.512122571746673</v>
      </c>
      <c r="I18" s="42" t="s">
        <v>26</v>
      </c>
      <c r="J18" s="40">
        <f>J16+J17</f>
        <v>89.947707423580795</v>
      </c>
    </row>
    <row r="19" spans="1:10" x14ac:dyDescent="0.2">
      <c r="A19" s="27">
        <v>0.09</v>
      </c>
      <c r="B19" s="28">
        <v>106.6</v>
      </c>
      <c r="C19" s="28">
        <v>104.4</v>
      </c>
      <c r="D19" s="34">
        <f t="shared" si="2"/>
        <v>2.1999999999999886</v>
      </c>
      <c r="E19" s="28">
        <f t="shared" si="0"/>
        <v>6.6975754856506295</v>
      </c>
      <c r="F19" s="27">
        <v>0.125</v>
      </c>
      <c r="G19" s="28">
        <f t="shared" si="1"/>
        <v>56.1613240939229</v>
      </c>
    </row>
    <row r="20" spans="1:10" x14ac:dyDescent="0.2">
      <c r="A20" s="27">
        <v>6.3E-2</v>
      </c>
      <c r="B20" s="28">
        <v>106.1</v>
      </c>
      <c r="C20" s="28">
        <v>104.1</v>
      </c>
      <c r="D20" s="34">
        <f t="shared" si="2"/>
        <v>2</v>
      </c>
      <c r="E20" s="28">
        <f t="shared" si="0"/>
        <v>6.0887049869551495</v>
      </c>
      <c r="F20" s="27">
        <v>0.09</v>
      </c>
      <c r="G20" s="28">
        <f t="shared" si="1"/>
        <v>49.463748608272269</v>
      </c>
    </row>
    <row r="21" spans="1:10" x14ac:dyDescent="0.2">
      <c r="A21" s="2" t="s">
        <v>25</v>
      </c>
      <c r="B21" s="28">
        <v>77.7</v>
      </c>
      <c r="C21" s="28">
        <v>76.7</v>
      </c>
      <c r="D21" s="34">
        <f>(B21-C21)+J16</f>
        <v>14.247707423580788</v>
      </c>
      <c r="E21" s="28">
        <f t="shared" si="0"/>
        <v>43.375043621317118</v>
      </c>
      <c r="F21" s="27">
        <v>6.3E-2</v>
      </c>
      <c r="G21" s="28">
        <f>E21</f>
        <v>43.375043621317118</v>
      </c>
    </row>
    <row r="22" spans="1:10" x14ac:dyDescent="0.2">
      <c r="A22" s="2" t="s">
        <v>27</v>
      </c>
      <c r="B22" s="2"/>
      <c r="C22" s="21"/>
      <c r="D22" s="36">
        <f>SUM(D9:D21)</f>
        <v>32.847707423580786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0.22</v>
      </c>
    </row>
    <row r="48" spans="1:5" x14ac:dyDescent="0.2">
      <c r="A48" t="s">
        <v>30</v>
      </c>
      <c r="D48" s="2" t="s">
        <v>31</v>
      </c>
      <c r="E48" s="14">
        <v>0.28000000000000003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3.7333333333333338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5" spans="1:5" x14ac:dyDescent="0.2">
      <c r="A55" t="s">
        <v>71</v>
      </c>
      <c r="B55" t="s">
        <v>69</v>
      </c>
      <c r="C55" t="s">
        <v>70</v>
      </c>
    </row>
    <row r="56" spans="1:5" x14ac:dyDescent="0.2">
      <c r="A56">
        <f>B56/1000</f>
        <v>9.9500000000000006E-5</v>
      </c>
      <c r="B56">
        <v>9.9500000000000005E-2</v>
      </c>
      <c r="C56">
        <v>0</v>
      </c>
    </row>
    <row r="57" spans="1:5" x14ac:dyDescent="0.2">
      <c r="A57">
        <f t="shared" ref="A57:A120" si="3">B57/1000</f>
        <v>1.1300000000000001E-4</v>
      </c>
      <c r="B57">
        <v>0.113</v>
      </c>
      <c r="C57">
        <v>0</v>
      </c>
    </row>
    <row r="58" spans="1:5" x14ac:dyDescent="0.2">
      <c r="A58">
        <f t="shared" si="3"/>
        <v>1.2799999999999999E-4</v>
      </c>
      <c r="B58">
        <v>0.128</v>
      </c>
      <c r="C58">
        <v>0</v>
      </c>
    </row>
    <row r="59" spans="1:5" x14ac:dyDescent="0.2">
      <c r="A59">
        <f t="shared" si="3"/>
        <v>1.46E-4</v>
      </c>
      <c r="B59">
        <v>0.14599999999999999</v>
      </c>
      <c r="C59">
        <v>0</v>
      </c>
    </row>
    <row r="60" spans="1:5" x14ac:dyDescent="0.2">
      <c r="A60">
        <f t="shared" si="3"/>
        <v>1.66E-4</v>
      </c>
      <c r="B60">
        <v>0.16600000000000001</v>
      </c>
      <c r="C60">
        <v>0</v>
      </c>
    </row>
    <row r="61" spans="1:5" x14ac:dyDescent="0.2">
      <c r="A61">
        <f t="shared" si="3"/>
        <v>1.8799999999999999E-4</v>
      </c>
      <c r="B61">
        <v>0.188</v>
      </c>
      <c r="C61">
        <v>0</v>
      </c>
    </row>
    <row r="62" spans="1:5" x14ac:dyDescent="0.2">
      <c r="A62">
        <f t="shared" si="3"/>
        <v>2.14E-4</v>
      </c>
      <c r="B62">
        <v>0.214</v>
      </c>
      <c r="C62">
        <v>0</v>
      </c>
    </row>
    <row r="63" spans="1:5" x14ac:dyDescent="0.2">
      <c r="A63">
        <f t="shared" si="3"/>
        <v>2.43E-4</v>
      </c>
      <c r="B63">
        <v>0.24299999999999999</v>
      </c>
      <c r="C63">
        <v>0</v>
      </c>
    </row>
    <row r="64" spans="1:5" x14ac:dyDescent="0.2">
      <c r="A64">
        <f t="shared" si="3"/>
        <v>2.7600000000000004E-4</v>
      </c>
      <c r="B64">
        <v>0.27600000000000002</v>
      </c>
      <c r="C64">
        <v>0</v>
      </c>
    </row>
    <row r="65" spans="1:5" x14ac:dyDescent="0.2">
      <c r="A65">
        <f t="shared" si="3"/>
        <v>3.1399999999999999E-4</v>
      </c>
      <c r="B65">
        <v>0.314</v>
      </c>
      <c r="C65">
        <v>0</v>
      </c>
    </row>
    <row r="66" spans="1:5" x14ac:dyDescent="0.2">
      <c r="A66">
        <f t="shared" si="3"/>
        <v>3.57E-4</v>
      </c>
      <c r="B66">
        <v>0.35699999999999998</v>
      </c>
      <c r="C66">
        <v>0</v>
      </c>
    </row>
    <row r="67" spans="1:5" x14ac:dyDescent="0.2">
      <c r="A67">
        <f t="shared" si="3"/>
        <v>4.0500000000000003E-4</v>
      </c>
      <c r="B67">
        <v>0.40500000000000003</v>
      </c>
      <c r="C67">
        <v>0</v>
      </c>
    </row>
    <row r="68" spans="1:5" x14ac:dyDescent="0.2">
      <c r="A68">
        <f t="shared" si="3"/>
        <v>4.6000000000000001E-4</v>
      </c>
      <c r="B68">
        <v>0.46</v>
      </c>
      <c r="C68">
        <v>0</v>
      </c>
    </row>
    <row r="69" spans="1:5" x14ac:dyDescent="0.2">
      <c r="A69">
        <f t="shared" si="3"/>
        <v>5.2300000000000003E-4</v>
      </c>
      <c r="B69">
        <v>0.52300000000000002</v>
      </c>
      <c r="C69">
        <v>0</v>
      </c>
    </row>
    <row r="70" spans="1:5" x14ac:dyDescent="0.2">
      <c r="A70">
        <f t="shared" si="3"/>
        <v>5.9400000000000002E-4</v>
      </c>
      <c r="B70">
        <v>0.59399999999999997</v>
      </c>
      <c r="C70">
        <v>0</v>
      </c>
    </row>
    <row r="71" spans="1:5" x14ac:dyDescent="0.2">
      <c r="A71">
        <f t="shared" si="3"/>
        <v>6.7500000000000004E-4</v>
      </c>
      <c r="B71">
        <v>0.67500000000000004</v>
      </c>
      <c r="C71">
        <v>0</v>
      </c>
    </row>
    <row r="72" spans="1:5" x14ac:dyDescent="0.2">
      <c r="A72">
        <f t="shared" si="3"/>
        <v>7.67E-4</v>
      </c>
      <c r="B72">
        <v>0.76700000000000002</v>
      </c>
      <c r="C72">
        <v>0</v>
      </c>
    </row>
    <row r="73" spans="1:5" x14ac:dyDescent="0.2">
      <c r="A73">
        <f t="shared" si="3"/>
        <v>8.7199999999999995E-4</v>
      </c>
      <c r="B73">
        <v>0.872</v>
      </c>
      <c r="C73">
        <v>7.0000000000000007E-2</v>
      </c>
      <c r="D73">
        <f>C72+C73</f>
        <v>7.0000000000000007E-2</v>
      </c>
      <c r="E73">
        <f>(D73*$E$21)/100</f>
        <v>3.0362530534921984E-2</v>
      </c>
    </row>
    <row r="74" spans="1:5" x14ac:dyDescent="0.2">
      <c r="A74">
        <f t="shared" si="3"/>
        <v>9.9099999999999991E-4</v>
      </c>
      <c r="B74">
        <v>0.99099999999999999</v>
      </c>
      <c r="C74">
        <v>0.25</v>
      </c>
      <c r="D74">
        <f>D73+C74</f>
        <v>0.32</v>
      </c>
      <c r="E74">
        <f t="shared" ref="E74:E135" si="4">(D74*$E$21)/100</f>
        <v>0.1388001395882148</v>
      </c>
    </row>
    <row r="75" spans="1:5" x14ac:dyDescent="0.2">
      <c r="A75">
        <f t="shared" si="3"/>
        <v>1.1299999999999999E-3</v>
      </c>
      <c r="B75">
        <v>1.1299999999999999</v>
      </c>
      <c r="C75">
        <v>0.54</v>
      </c>
      <c r="D75">
        <f t="shared" ref="D75:D135" si="5">D74+C75</f>
        <v>0.8600000000000001</v>
      </c>
      <c r="E75">
        <f t="shared" si="4"/>
        <v>0.37302537514332729</v>
      </c>
    </row>
    <row r="76" spans="1:5" x14ac:dyDescent="0.2">
      <c r="A76">
        <f t="shared" si="3"/>
        <v>1.2800000000000001E-3</v>
      </c>
      <c r="B76">
        <v>1.28</v>
      </c>
      <c r="C76">
        <v>0.94</v>
      </c>
      <c r="D76">
        <f t="shared" si="5"/>
        <v>1.8</v>
      </c>
      <c r="E76">
        <f t="shared" si="4"/>
        <v>0.78075078518370811</v>
      </c>
    </row>
    <row r="77" spans="1:5" x14ac:dyDescent="0.2">
      <c r="A77">
        <f t="shared" si="3"/>
        <v>1.4499999999999999E-3</v>
      </c>
      <c r="B77">
        <v>1.45</v>
      </c>
      <c r="C77">
        <v>1.41</v>
      </c>
      <c r="D77">
        <f t="shared" si="5"/>
        <v>3.21</v>
      </c>
      <c r="E77">
        <f t="shared" si="4"/>
        <v>1.3923389002442794</v>
      </c>
    </row>
    <row r="78" spans="1:5" x14ac:dyDescent="0.2">
      <c r="A78">
        <f t="shared" si="3"/>
        <v>1.65E-3</v>
      </c>
      <c r="B78">
        <v>1.65</v>
      </c>
      <c r="C78">
        <v>1.89</v>
      </c>
      <c r="D78">
        <f t="shared" si="5"/>
        <v>5.0999999999999996</v>
      </c>
      <c r="E78">
        <f t="shared" si="4"/>
        <v>2.212127224687173</v>
      </c>
    </row>
    <row r="79" spans="1:5" x14ac:dyDescent="0.2">
      <c r="A79">
        <f t="shared" si="3"/>
        <v>1.8799999999999999E-3</v>
      </c>
      <c r="B79">
        <v>1.88</v>
      </c>
      <c r="C79">
        <v>2.37</v>
      </c>
      <c r="D79">
        <f t="shared" si="5"/>
        <v>7.47</v>
      </c>
      <c r="E79">
        <f t="shared" si="4"/>
        <v>3.2401157585123888</v>
      </c>
    </row>
    <row r="80" spans="1:5" x14ac:dyDescent="0.2">
      <c r="A80" s="51">
        <f t="shared" si="3"/>
        <v>2.1299999999999999E-3</v>
      </c>
      <c r="B80" s="51">
        <v>2.13</v>
      </c>
      <c r="C80" s="51">
        <v>2.81</v>
      </c>
      <c r="D80" s="51">
        <f t="shared" si="5"/>
        <v>10.28</v>
      </c>
      <c r="E80" s="51">
        <f t="shared" si="4"/>
        <v>4.4589544842713993</v>
      </c>
    </row>
    <row r="81" spans="1:5" x14ac:dyDescent="0.2">
      <c r="A81">
        <f t="shared" si="3"/>
        <v>2.4199999999999998E-3</v>
      </c>
      <c r="B81">
        <v>2.42</v>
      </c>
      <c r="C81">
        <v>3.21</v>
      </c>
      <c r="D81">
        <f t="shared" si="5"/>
        <v>13.489999999999998</v>
      </c>
      <c r="E81">
        <f t="shared" si="4"/>
        <v>5.851293384515678</v>
      </c>
    </row>
    <row r="82" spans="1:5" x14ac:dyDescent="0.2">
      <c r="A82">
        <f t="shared" si="3"/>
        <v>2.7499999999999998E-3</v>
      </c>
      <c r="B82">
        <v>2.75</v>
      </c>
      <c r="C82">
        <v>3.6</v>
      </c>
      <c r="D82">
        <f t="shared" si="5"/>
        <v>17.09</v>
      </c>
      <c r="E82">
        <f t="shared" si="4"/>
        <v>7.4127949548830951</v>
      </c>
    </row>
    <row r="83" spans="1:5" x14ac:dyDescent="0.2">
      <c r="A83">
        <f t="shared" si="3"/>
        <v>3.1199999999999999E-3</v>
      </c>
      <c r="B83">
        <v>3.12</v>
      </c>
      <c r="C83">
        <v>3.96</v>
      </c>
      <c r="D83">
        <f t="shared" si="5"/>
        <v>21.05</v>
      </c>
      <c r="E83">
        <f t="shared" si="4"/>
        <v>9.1304466822872534</v>
      </c>
    </row>
    <row r="84" spans="1:5" x14ac:dyDescent="0.2">
      <c r="A84">
        <f t="shared" si="3"/>
        <v>3.5499999999999998E-3</v>
      </c>
      <c r="B84">
        <v>3.55</v>
      </c>
      <c r="C84">
        <v>4.3099999999999996</v>
      </c>
      <c r="D84">
        <f t="shared" si="5"/>
        <v>25.36</v>
      </c>
      <c r="E84">
        <f t="shared" si="4"/>
        <v>10.999911062366021</v>
      </c>
    </row>
    <row r="85" spans="1:5" x14ac:dyDescent="0.2">
      <c r="A85">
        <f t="shared" si="3"/>
        <v>4.0300000000000006E-3</v>
      </c>
      <c r="B85">
        <v>4.03</v>
      </c>
      <c r="C85">
        <v>4.63</v>
      </c>
      <c r="D85">
        <f t="shared" si="5"/>
        <v>29.99</v>
      </c>
      <c r="E85">
        <f t="shared" si="4"/>
        <v>13.008175582033003</v>
      </c>
    </row>
    <row r="86" spans="1:5" x14ac:dyDescent="0.2">
      <c r="A86">
        <f t="shared" si="3"/>
        <v>4.5799999999999999E-3</v>
      </c>
      <c r="B86">
        <v>4.58</v>
      </c>
      <c r="C86">
        <v>4.91</v>
      </c>
      <c r="D86">
        <f t="shared" si="5"/>
        <v>34.9</v>
      </c>
      <c r="E86">
        <f t="shared" si="4"/>
        <v>15.137890223839674</v>
      </c>
    </row>
    <row r="87" spans="1:5" x14ac:dyDescent="0.2">
      <c r="A87">
        <f t="shared" si="3"/>
        <v>5.2100000000000002E-3</v>
      </c>
      <c r="B87">
        <v>5.21</v>
      </c>
      <c r="C87">
        <v>5.12</v>
      </c>
      <c r="D87">
        <f t="shared" si="5"/>
        <v>40.019999999999996</v>
      </c>
      <c r="E87">
        <f t="shared" si="4"/>
        <v>17.358692457251109</v>
      </c>
    </row>
    <row r="88" spans="1:5" x14ac:dyDescent="0.2">
      <c r="A88">
        <f t="shared" si="3"/>
        <v>5.9199999999999999E-3</v>
      </c>
      <c r="B88">
        <v>5.92</v>
      </c>
      <c r="C88">
        <v>5.27</v>
      </c>
      <c r="D88">
        <f t="shared" si="5"/>
        <v>45.289999999999992</v>
      </c>
      <c r="E88">
        <f t="shared" si="4"/>
        <v>19.644557256094519</v>
      </c>
    </row>
    <row r="89" spans="1:5" x14ac:dyDescent="0.2">
      <c r="A89">
        <f t="shared" si="3"/>
        <v>6.7199999999999994E-3</v>
      </c>
      <c r="B89">
        <v>6.72</v>
      </c>
      <c r="C89">
        <v>5.35</v>
      </c>
      <c r="D89">
        <f t="shared" si="5"/>
        <v>50.639999999999993</v>
      </c>
      <c r="E89">
        <f t="shared" si="4"/>
        <v>21.965122089834985</v>
      </c>
    </row>
    <row r="90" spans="1:5" x14ac:dyDescent="0.2">
      <c r="A90">
        <f t="shared" si="3"/>
        <v>7.6400000000000001E-3</v>
      </c>
      <c r="B90">
        <v>7.64</v>
      </c>
      <c r="C90">
        <v>5.36</v>
      </c>
      <c r="D90">
        <f t="shared" si="5"/>
        <v>55.999999999999993</v>
      </c>
      <c r="E90">
        <f t="shared" si="4"/>
        <v>24.290024427937581</v>
      </c>
    </row>
    <row r="91" spans="1:5" x14ac:dyDescent="0.2">
      <c r="A91">
        <f t="shared" si="3"/>
        <v>8.6800000000000002E-3</v>
      </c>
      <c r="B91">
        <v>8.68</v>
      </c>
      <c r="C91">
        <v>5.29</v>
      </c>
      <c r="D91">
        <f t="shared" si="5"/>
        <v>61.289999999999992</v>
      </c>
      <c r="E91">
        <f t="shared" si="4"/>
        <v>26.584564235505258</v>
      </c>
    </row>
    <row r="92" spans="1:5" x14ac:dyDescent="0.2">
      <c r="A92">
        <f t="shared" si="3"/>
        <v>9.859999999999999E-3</v>
      </c>
      <c r="B92">
        <v>9.86</v>
      </c>
      <c r="C92">
        <v>5.15</v>
      </c>
      <c r="D92">
        <f t="shared" si="5"/>
        <v>66.44</v>
      </c>
      <c r="E92">
        <f t="shared" si="4"/>
        <v>28.818378982003093</v>
      </c>
    </row>
    <row r="93" spans="1:5" x14ac:dyDescent="0.2">
      <c r="A93">
        <f t="shared" si="3"/>
        <v>1.12E-2</v>
      </c>
      <c r="B93">
        <v>11.2</v>
      </c>
      <c r="C93">
        <v>4.9400000000000004</v>
      </c>
      <c r="D93">
        <f t="shared" si="5"/>
        <v>71.38</v>
      </c>
      <c r="E93">
        <f t="shared" si="4"/>
        <v>30.961106136896156</v>
      </c>
    </row>
    <row r="94" spans="1:5" x14ac:dyDescent="0.2">
      <c r="A94">
        <f t="shared" si="3"/>
        <v>1.2699999999999999E-2</v>
      </c>
      <c r="B94">
        <v>12.7</v>
      </c>
      <c r="C94">
        <v>4.67</v>
      </c>
      <c r="D94">
        <f t="shared" si="5"/>
        <v>76.05</v>
      </c>
      <c r="E94">
        <f t="shared" si="4"/>
        <v>32.986720674011664</v>
      </c>
    </row>
    <row r="95" spans="1:5" x14ac:dyDescent="0.2">
      <c r="A95">
        <f t="shared" si="3"/>
        <v>1.4500000000000001E-2</v>
      </c>
      <c r="B95">
        <v>14.5</v>
      </c>
      <c r="C95">
        <v>4.34</v>
      </c>
      <c r="D95">
        <f t="shared" si="5"/>
        <v>80.39</v>
      </c>
      <c r="E95">
        <f t="shared" si="4"/>
        <v>34.869197567176826</v>
      </c>
    </row>
    <row r="96" spans="1:5" x14ac:dyDescent="0.2">
      <c r="A96">
        <f t="shared" si="3"/>
        <v>1.6399999999999998E-2</v>
      </c>
      <c r="B96">
        <v>16.399999999999999</v>
      </c>
      <c r="C96">
        <v>3.95</v>
      </c>
      <c r="D96">
        <f t="shared" si="5"/>
        <v>84.34</v>
      </c>
      <c r="E96">
        <f t="shared" si="4"/>
        <v>36.582511790218859</v>
      </c>
    </row>
    <row r="97" spans="1:5" x14ac:dyDescent="0.2">
      <c r="A97">
        <f t="shared" si="3"/>
        <v>1.8699999999999998E-2</v>
      </c>
      <c r="B97">
        <v>18.7</v>
      </c>
      <c r="C97">
        <v>3.51</v>
      </c>
      <c r="D97">
        <f t="shared" si="5"/>
        <v>87.850000000000009</v>
      </c>
      <c r="E97">
        <f t="shared" si="4"/>
        <v>38.104975821327095</v>
      </c>
    </row>
    <row r="98" spans="1:5" x14ac:dyDescent="0.2">
      <c r="A98">
        <f t="shared" si="3"/>
        <v>2.12E-2</v>
      </c>
      <c r="B98">
        <v>21.2</v>
      </c>
      <c r="C98">
        <v>3.03</v>
      </c>
      <c r="D98">
        <f t="shared" si="5"/>
        <v>90.88000000000001</v>
      </c>
      <c r="E98">
        <f t="shared" si="4"/>
        <v>39.419239643053004</v>
      </c>
    </row>
    <row r="99" spans="1:5" x14ac:dyDescent="0.2">
      <c r="A99">
        <f t="shared" si="3"/>
        <v>2.41E-2</v>
      </c>
      <c r="B99">
        <v>24.1</v>
      </c>
      <c r="C99">
        <v>2.52</v>
      </c>
      <c r="D99">
        <f t="shared" si="5"/>
        <v>93.4</v>
      </c>
      <c r="E99">
        <f t="shared" si="4"/>
        <v>40.512290742310192</v>
      </c>
    </row>
    <row r="100" spans="1:5" x14ac:dyDescent="0.2">
      <c r="A100">
        <f t="shared" si="3"/>
        <v>2.7399999999999997E-2</v>
      </c>
      <c r="B100">
        <v>27.4</v>
      </c>
      <c r="C100">
        <v>2.0099999999999998</v>
      </c>
      <c r="D100">
        <f t="shared" si="5"/>
        <v>95.410000000000011</v>
      </c>
      <c r="E100">
        <f t="shared" si="4"/>
        <v>41.384129119098674</v>
      </c>
    </row>
    <row r="101" spans="1:5" x14ac:dyDescent="0.2">
      <c r="A101">
        <f t="shared" si="3"/>
        <v>3.1100000000000003E-2</v>
      </c>
      <c r="B101">
        <v>31.1</v>
      </c>
      <c r="C101">
        <v>1.52</v>
      </c>
      <c r="D101">
        <f t="shared" si="5"/>
        <v>96.93</v>
      </c>
      <c r="E101">
        <f t="shared" si="4"/>
        <v>42.043429782142681</v>
      </c>
    </row>
    <row r="102" spans="1:5" x14ac:dyDescent="0.2">
      <c r="A102">
        <f t="shared" si="3"/>
        <v>3.5299999999999998E-2</v>
      </c>
      <c r="B102">
        <v>35.299999999999997</v>
      </c>
      <c r="C102">
        <v>1.0900000000000001</v>
      </c>
      <c r="D102">
        <f t="shared" si="5"/>
        <v>98.02000000000001</v>
      </c>
      <c r="E102">
        <f t="shared" si="4"/>
        <v>42.516217757615038</v>
      </c>
    </row>
    <row r="103" spans="1:5" x14ac:dyDescent="0.2">
      <c r="A103">
        <f t="shared" si="3"/>
        <v>4.0100000000000004E-2</v>
      </c>
      <c r="B103">
        <v>40.1</v>
      </c>
      <c r="C103">
        <v>0.73</v>
      </c>
      <c r="D103">
        <f t="shared" si="5"/>
        <v>98.750000000000014</v>
      </c>
      <c r="E103">
        <f t="shared" si="4"/>
        <v>42.832855576050662</v>
      </c>
    </row>
    <row r="104" spans="1:5" x14ac:dyDescent="0.2">
      <c r="A104">
        <f t="shared" si="3"/>
        <v>4.5600000000000002E-2</v>
      </c>
      <c r="B104">
        <v>45.6</v>
      </c>
      <c r="C104">
        <v>0.47</v>
      </c>
      <c r="D104">
        <f t="shared" si="5"/>
        <v>99.220000000000013</v>
      </c>
      <c r="E104">
        <f t="shared" si="4"/>
        <v>43.036718281070854</v>
      </c>
    </row>
    <row r="105" spans="1:5" x14ac:dyDescent="0.2">
      <c r="A105">
        <f t="shared" si="3"/>
        <v>5.1799999999999999E-2</v>
      </c>
      <c r="B105">
        <v>51.8</v>
      </c>
      <c r="C105">
        <v>0.28999999999999998</v>
      </c>
      <c r="D105">
        <f t="shared" si="5"/>
        <v>99.510000000000019</v>
      </c>
      <c r="E105">
        <f t="shared" si="4"/>
        <v>43.16250590757268</v>
      </c>
    </row>
    <row r="106" spans="1:5" x14ac:dyDescent="0.2">
      <c r="A106">
        <f t="shared" si="3"/>
        <v>5.8900000000000001E-2</v>
      </c>
      <c r="B106">
        <v>58.9</v>
      </c>
      <c r="C106">
        <v>0.18</v>
      </c>
      <c r="D106">
        <f t="shared" si="5"/>
        <v>99.690000000000026</v>
      </c>
      <c r="E106">
        <f t="shared" si="4"/>
        <v>43.240580986091047</v>
      </c>
    </row>
    <row r="107" spans="1:5" x14ac:dyDescent="0.2">
      <c r="A107">
        <f t="shared" si="3"/>
        <v>6.6900000000000001E-2</v>
      </c>
      <c r="B107">
        <v>66.900000000000006</v>
      </c>
      <c r="C107">
        <v>0.12</v>
      </c>
      <c r="D107">
        <f t="shared" si="5"/>
        <v>99.810000000000031</v>
      </c>
      <c r="E107">
        <f t="shared" si="4"/>
        <v>43.292631038436632</v>
      </c>
    </row>
    <row r="108" spans="1:5" x14ac:dyDescent="0.2">
      <c r="A108">
        <f t="shared" si="3"/>
        <v>7.5999999999999998E-2</v>
      </c>
      <c r="B108">
        <v>76</v>
      </c>
      <c r="C108">
        <v>0.09</v>
      </c>
      <c r="D108">
        <f t="shared" si="5"/>
        <v>99.900000000000034</v>
      </c>
      <c r="E108">
        <f t="shared" si="4"/>
        <v>43.331668577695815</v>
      </c>
    </row>
    <row r="109" spans="1:5" x14ac:dyDescent="0.2">
      <c r="A109">
        <f t="shared" si="3"/>
        <v>8.6400000000000005E-2</v>
      </c>
      <c r="B109">
        <v>86.4</v>
      </c>
      <c r="C109">
        <v>0.04</v>
      </c>
      <c r="D109">
        <f t="shared" si="5"/>
        <v>99.94000000000004</v>
      </c>
      <c r="E109">
        <f t="shared" si="4"/>
        <v>43.349018595144344</v>
      </c>
    </row>
    <row r="110" spans="1:5" x14ac:dyDescent="0.2">
      <c r="A110">
        <f t="shared" si="3"/>
        <v>9.8099999999999993E-2</v>
      </c>
      <c r="B110">
        <v>98.1</v>
      </c>
      <c r="C110">
        <v>0.02</v>
      </c>
      <c r="D110">
        <f t="shared" si="5"/>
        <v>99.960000000000036</v>
      </c>
      <c r="E110">
        <f t="shared" si="4"/>
        <v>43.357693603868611</v>
      </c>
    </row>
    <row r="111" spans="1:5" x14ac:dyDescent="0.2">
      <c r="A111">
        <f t="shared" si="3"/>
        <v>0.111</v>
      </c>
      <c r="B111">
        <v>111</v>
      </c>
      <c r="C111">
        <v>0.02</v>
      </c>
      <c r="D111">
        <f t="shared" si="5"/>
        <v>99.980000000000032</v>
      </c>
      <c r="E111">
        <f t="shared" si="4"/>
        <v>43.366368612592872</v>
      </c>
    </row>
    <row r="112" spans="1:5" x14ac:dyDescent="0.2">
      <c r="A112">
        <f t="shared" si="3"/>
        <v>0.127</v>
      </c>
      <c r="B112">
        <v>127</v>
      </c>
      <c r="C112">
        <v>0</v>
      </c>
      <c r="D112">
        <f t="shared" si="5"/>
        <v>99.980000000000032</v>
      </c>
      <c r="E112">
        <f t="shared" si="4"/>
        <v>43.366368612592872</v>
      </c>
    </row>
    <row r="113" spans="1:5" x14ac:dyDescent="0.2">
      <c r="A113">
        <f t="shared" si="3"/>
        <v>0.14399999999999999</v>
      </c>
      <c r="B113">
        <v>144</v>
      </c>
      <c r="C113">
        <v>0</v>
      </c>
      <c r="D113">
        <f t="shared" si="5"/>
        <v>99.980000000000032</v>
      </c>
      <c r="E113">
        <f t="shared" si="4"/>
        <v>43.366368612592872</v>
      </c>
    </row>
    <row r="114" spans="1:5" x14ac:dyDescent="0.2">
      <c r="A114">
        <f t="shared" si="3"/>
        <v>0.16300000000000001</v>
      </c>
      <c r="B114">
        <v>163</v>
      </c>
      <c r="C114">
        <v>0</v>
      </c>
      <c r="D114">
        <f t="shared" si="5"/>
        <v>99.980000000000032</v>
      </c>
      <c r="E114">
        <f t="shared" si="4"/>
        <v>43.366368612592872</v>
      </c>
    </row>
    <row r="115" spans="1:5" x14ac:dyDescent="0.2">
      <c r="A115">
        <f t="shared" si="3"/>
        <v>0.186</v>
      </c>
      <c r="B115">
        <v>186</v>
      </c>
      <c r="C115">
        <v>0</v>
      </c>
      <c r="D115">
        <f t="shared" si="5"/>
        <v>99.980000000000032</v>
      </c>
      <c r="E115">
        <f t="shared" si="4"/>
        <v>43.366368612592872</v>
      </c>
    </row>
    <row r="116" spans="1:5" x14ac:dyDescent="0.2">
      <c r="A116">
        <f t="shared" si="3"/>
        <v>0.21099999999999999</v>
      </c>
      <c r="B116">
        <v>211</v>
      </c>
      <c r="C116">
        <v>0</v>
      </c>
      <c r="D116">
        <f t="shared" si="5"/>
        <v>99.980000000000032</v>
      </c>
      <c r="E116">
        <f t="shared" si="4"/>
        <v>43.366368612592872</v>
      </c>
    </row>
    <row r="117" spans="1:5" x14ac:dyDescent="0.2">
      <c r="A117">
        <f t="shared" si="3"/>
        <v>0.24</v>
      </c>
      <c r="B117">
        <v>240</v>
      </c>
      <c r="C117">
        <v>0</v>
      </c>
      <c r="D117">
        <f t="shared" si="5"/>
        <v>99.980000000000032</v>
      </c>
      <c r="E117">
        <f t="shared" si="4"/>
        <v>43.366368612592872</v>
      </c>
    </row>
    <row r="118" spans="1:5" x14ac:dyDescent="0.2">
      <c r="A118">
        <f t="shared" si="3"/>
        <v>0.27200000000000002</v>
      </c>
      <c r="B118">
        <v>272</v>
      </c>
      <c r="C118">
        <v>0</v>
      </c>
      <c r="D118">
        <f t="shared" si="5"/>
        <v>99.980000000000032</v>
      </c>
      <c r="E118">
        <f t="shared" si="4"/>
        <v>43.366368612592872</v>
      </c>
    </row>
    <row r="119" spans="1:5" x14ac:dyDescent="0.2">
      <c r="A119">
        <f t="shared" si="3"/>
        <v>0.31</v>
      </c>
      <c r="B119">
        <v>310</v>
      </c>
      <c r="C119">
        <v>0</v>
      </c>
      <c r="D119">
        <f t="shared" si="5"/>
        <v>99.980000000000032</v>
      </c>
      <c r="E119">
        <f t="shared" si="4"/>
        <v>43.366368612592872</v>
      </c>
    </row>
    <row r="120" spans="1:5" x14ac:dyDescent="0.2">
      <c r="A120">
        <f t="shared" si="3"/>
        <v>0.35199999999999998</v>
      </c>
      <c r="B120">
        <v>352</v>
      </c>
      <c r="C120">
        <v>0</v>
      </c>
      <c r="D120">
        <f t="shared" si="5"/>
        <v>99.980000000000032</v>
      </c>
      <c r="E120">
        <f t="shared" si="4"/>
        <v>43.366368612592872</v>
      </c>
    </row>
    <row r="121" spans="1:5" x14ac:dyDescent="0.2">
      <c r="A121">
        <f t="shared" ref="A121:A135" si="6">B121/1000</f>
        <v>0.4</v>
      </c>
      <c r="B121">
        <v>400</v>
      </c>
      <c r="C121">
        <v>0</v>
      </c>
      <c r="D121">
        <f t="shared" si="5"/>
        <v>99.980000000000032</v>
      </c>
      <c r="E121">
        <f t="shared" si="4"/>
        <v>43.366368612592872</v>
      </c>
    </row>
    <row r="122" spans="1:5" x14ac:dyDescent="0.2">
      <c r="A122">
        <f t="shared" si="6"/>
        <v>0.45400000000000001</v>
      </c>
      <c r="B122">
        <v>454</v>
      </c>
      <c r="C122">
        <v>0</v>
      </c>
      <c r="D122">
        <f t="shared" si="5"/>
        <v>99.980000000000032</v>
      </c>
      <c r="E122">
        <f t="shared" si="4"/>
        <v>43.366368612592872</v>
      </c>
    </row>
    <row r="123" spans="1:5" x14ac:dyDescent="0.2">
      <c r="A123">
        <f t="shared" si="6"/>
        <v>0.51600000000000001</v>
      </c>
      <c r="B123">
        <v>516</v>
      </c>
      <c r="C123">
        <v>0</v>
      </c>
      <c r="D123">
        <f t="shared" si="5"/>
        <v>99.980000000000032</v>
      </c>
      <c r="E123">
        <f t="shared" si="4"/>
        <v>43.366368612592872</v>
      </c>
    </row>
    <row r="124" spans="1:5" x14ac:dyDescent="0.2">
      <c r="A124">
        <f t="shared" si="6"/>
        <v>0.58599999999999997</v>
      </c>
      <c r="B124">
        <v>586</v>
      </c>
      <c r="C124">
        <v>0</v>
      </c>
      <c r="D124">
        <f t="shared" si="5"/>
        <v>99.980000000000032</v>
      </c>
      <c r="E124">
        <f t="shared" si="4"/>
        <v>43.366368612592872</v>
      </c>
    </row>
    <row r="125" spans="1:5" x14ac:dyDescent="0.2">
      <c r="A125">
        <f t="shared" si="6"/>
        <v>0.66600000000000004</v>
      </c>
      <c r="B125">
        <v>666</v>
      </c>
      <c r="C125">
        <v>0</v>
      </c>
      <c r="D125">
        <f t="shared" si="5"/>
        <v>99.980000000000032</v>
      </c>
      <c r="E125">
        <f t="shared" si="4"/>
        <v>43.366368612592872</v>
      </c>
    </row>
    <row r="126" spans="1:5" x14ac:dyDescent="0.2">
      <c r="A126">
        <f t="shared" si="6"/>
        <v>0.75600000000000001</v>
      </c>
      <c r="B126">
        <v>756</v>
      </c>
      <c r="C126">
        <v>0</v>
      </c>
      <c r="D126">
        <f t="shared" si="5"/>
        <v>99.980000000000032</v>
      </c>
      <c r="E126">
        <f t="shared" si="4"/>
        <v>43.366368612592872</v>
      </c>
    </row>
    <row r="127" spans="1:5" x14ac:dyDescent="0.2">
      <c r="A127">
        <f t="shared" si="6"/>
        <v>0.85899999999999999</v>
      </c>
      <c r="B127">
        <v>859</v>
      </c>
      <c r="C127">
        <v>0</v>
      </c>
      <c r="D127">
        <f t="shared" si="5"/>
        <v>99.980000000000032</v>
      </c>
      <c r="E127">
        <f t="shared" si="4"/>
        <v>43.366368612592872</v>
      </c>
    </row>
    <row r="128" spans="1:5" x14ac:dyDescent="0.2">
      <c r="A128">
        <f t="shared" si="6"/>
        <v>0.97599999999999998</v>
      </c>
      <c r="B128">
        <v>976</v>
      </c>
      <c r="C128">
        <v>0</v>
      </c>
      <c r="D128">
        <f t="shared" si="5"/>
        <v>99.980000000000032</v>
      </c>
      <c r="E128">
        <f t="shared" si="4"/>
        <v>43.366368612592872</v>
      </c>
    </row>
    <row r="129" spans="1:5" x14ac:dyDescent="0.2">
      <c r="A129">
        <f t="shared" si="6"/>
        <v>1.1100000000000001</v>
      </c>
      <c r="B129">
        <v>1110</v>
      </c>
      <c r="C129">
        <v>0</v>
      </c>
      <c r="D129">
        <f t="shared" si="5"/>
        <v>99.980000000000032</v>
      </c>
      <c r="E129">
        <f t="shared" si="4"/>
        <v>43.366368612592872</v>
      </c>
    </row>
    <row r="130" spans="1:5" x14ac:dyDescent="0.2">
      <c r="A130">
        <f t="shared" si="6"/>
        <v>1.26</v>
      </c>
      <c r="B130">
        <v>1260</v>
      </c>
      <c r="C130">
        <v>0</v>
      </c>
      <c r="D130">
        <f t="shared" si="5"/>
        <v>99.980000000000032</v>
      </c>
      <c r="E130">
        <f t="shared" si="4"/>
        <v>43.366368612592872</v>
      </c>
    </row>
    <row r="131" spans="1:5" x14ac:dyDescent="0.2">
      <c r="A131">
        <f t="shared" si="6"/>
        <v>1.43</v>
      </c>
      <c r="B131">
        <v>1430</v>
      </c>
      <c r="C131">
        <v>0</v>
      </c>
      <c r="D131">
        <f t="shared" si="5"/>
        <v>99.980000000000032</v>
      </c>
      <c r="E131">
        <f t="shared" si="4"/>
        <v>43.366368612592872</v>
      </c>
    </row>
    <row r="132" spans="1:5" x14ac:dyDescent="0.2">
      <c r="A132">
        <f t="shared" si="6"/>
        <v>1.63</v>
      </c>
      <c r="B132">
        <v>1630</v>
      </c>
      <c r="C132">
        <v>0</v>
      </c>
      <c r="D132">
        <f t="shared" si="5"/>
        <v>99.980000000000032</v>
      </c>
      <c r="E132">
        <f t="shared" si="4"/>
        <v>43.366368612592872</v>
      </c>
    </row>
    <row r="133" spans="1:5" x14ac:dyDescent="0.2">
      <c r="A133">
        <f t="shared" si="6"/>
        <v>1.85</v>
      </c>
      <c r="B133">
        <v>1850</v>
      </c>
      <c r="C133">
        <v>0</v>
      </c>
      <c r="D133">
        <f t="shared" si="5"/>
        <v>99.980000000000032</v>
      </c>
      <c r="E133">
        <f t="shared" si="4"/>
        <v>43.366368612592872</v>
      </c>
    </row>
    <row r="134" spans="1:5" x14ac:dyDescent="0.2">
      <c r="A134">
        <f t="shared" si="6"/>
        <v>2.1</v>
      </c>
      <c r="B134">
        <v>2100</v>
      </c>
      <c r="C134">
        <v>0</v>
      </c>
      <c r="D134">
        <f t="shared" si="5"/>
        <v>99.980000000000032</v>
      </c>
      <c r="E134">
        <f t="shared" si="4"/>
        <v>43.366368612592872</v>
      </c>
    </row>
    <row r="135" spans="1:5" x14ac:dyDescent="0.2">
      <c r="A135">
        <f t="shared" si="6"/>
        <v>2.39</v>
      </c>
      <c r="B135">
        <v>2390</v>
      </c>
      <c r="C135">
        <v>0</v>
      </c>
      <c r="D135">
        <f t="shared" si="5"/>
        <v>99.980000000000032</v>
      </c>
      <c r="E135">
        <f t="shared" si="4"/>
        <v>43.366368612592872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English</vt:lpstr>
      <vt:lpstr>Danish</vt:lpstr>
      <vt:lpstr>32</vt:lpstr>
      <vt:lpstr>43</vt:lpstr>
      <vt:lpstr>51</vt:lpstr>
      <vt:lpstr>53</vt:lpstr>
      <vt:lpstr>'32'!Print_Area</vt:lpstr>
      <vt:lpstr>'43'!Print_Area</vt:lpstr>
      <vt:lpstr>'51'!Print_Area</vt:lpstr>
      <vt:lpstr>'53'!Print_Area</vt:lpstr>
      <vt:lpstr>English!Print_Area</vt:lpstr>
    </vt:vector>
  </TitlesOfParts>
  <Manager/>
  <Company>Geologi &amp; Geoteknik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Bente Frydenlund</dc:creator>
  <cp:keywords/>
  <dc:description/>
  <cp:lastModifiedBy>Oliver Brincks Lund</cp:lastModifiedBy>
  <cp:revision/>
  <dcterms:created xsi:type="dcterms:W3CDTF">2000-06-21T13:31:57Z</dcterms:created>
  <dcterms:modified xsi:type="dcterms:W3CDTF">2026-06-04T11:17:59Z</dcterms:modified>
  <cp:category/>
  <cp:contentStatus/>
</cp:coreProperties>
</file>