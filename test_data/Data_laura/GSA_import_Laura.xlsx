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laumo_dtu_dk/Documents/PhD/HyProp/GSA/"/>
    </mc:Choice>
  </mc:AlternateContent>
  <xr:revisionPtr revIDLastSave="0" documentId="8_{BFFB0BB5-12E6-4B98-92DA-7B0675FC5B15}" xr6:coauthVersionLast="47" xr6:coauthVersionMax="47" xr10:uidLastSave="{00000000-0000-0000-0000-000000000000}"/>
  <bookViews>
    <workbookView xWindow="-120" yWindow="-120" windowWidth="29040" windowHeight="17520" activeTab="3" xr2:uid="{D3E3E5DB-C4EE-47D6-8C04-6CDEDC61A13A}"/>
  </bookViews>
  <sheets>
    <sheet name="Farum" sheetId="1" r:id="rId1"/>
    <sheet name="Gunderup" sheetId="2" r:id="rId2"/>
    <sheet name="Vejen" sheetId="3" r:id="rId3"/>
    <sheet name="Borris" sheetId="4" r:id="rId4"/>
    <sheet name="Grindst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5" l="1"/>
  <c r="H16" i="5" s="1"/>
  <c r="E16" i="5"/>
  <c r="E15" i="5"/>
  <c r="E14" i="5"/>
  <c r="E13" i="5"/>
  <c r="E12" i="5"/>
  <c r="E11" i="5"/>
  <c r="E10" i="5"/>
  <c r="E9" i="5"/>
  <c r="E8" i="5"/>
  <c r="E7" i="5"/>
  <c r="E17" i="5" s="1"/>
  <c r="F9" i="5" s="1"/>
  <c r="C4" i="5"/>
  <c r="G16" i="4"/>
  <c r="H16" i="4" s="1"/>
  <c r="E16" i="4"/>
  <c r="E15" i="4"/>
  <c r="E14" i="4"/>
  <c r="E13" i="4"/>
  <c r="E12" i="4"/>
  <c r="E11" i="4"/>
  <c r="E10" i="4"/>
  <c r="E9" i="4"/>
  <c r="E8" i="4"/>
  <c r="E7" i="4"/>
  <c r="E17" i="4" s="1"/>
  <c r="F14" i="4" s="1"/>
  <c r="C4" i="4"/>
  <c r="G16" i="3"/>
  <c r="H16" i="3" s="1"/>
  <c r="E16" i="3"/>
  <c r="E15" i="3"/>
  <c r="E14" i="3"/>
  <c r="E13" i="3"/>
  <c r="E12" i="3"/>
  <c r="E11" i="3"/>
  <c r="E10" i="3"/>
  <c r="E9" i="3"/>
  <c r="E8" i="3"/>
  <c r="E7" i="3"/>
  <c r="C4" i="3"/>
  <c r="G16" i="2"/>
  <c r="H16" i="2" s="1"/>
  <c r="E16" i="2"/>
  <c r="E15" i="2"/>
  <c r="E14" i="2"/>
  <c r="E13" i="2"/>
  <c r="E12" i="2"/>
  <c r="E11" i="2"/>
  <c r="E10" i="2"/>
  <c r="E9" i="2"/>
  <c r="D8" i="2"/>
  <c r="E7" i="2"/>
  <c r="C4" i="2"/>
  <c r="G18" i="1"/>
  <c r="H18" i="1" s="1"/>
  <c r="E18" i="1"/>
  <c r="E17" i="1"/>
  <c r="E16" i="1"/>
  <c r="E15" i="1"/>
  <c r="E14" i="1"/>
  <c r="E13" i="1"/>
  <c r="E12" i="1"/>
  <c r="E11" i="1"/>
  <c r="E10" i="1"/>
  <c r="E9" i="1"/>
  <c r="C4" i="1"/>
  <c r="C6" i="1" s="1"/>
  <c r="F10" i="5" l="1"/>
  <c r="F16" i="5"/>
  <c r="G15" i="5" s="1"/>
  <c r="H15" i="5" s="1"/>
  <c r="F8" i="5"/>
  <c r="F11" i="5"/>
  <c r="F12" i="5"/>
  <c r="F13" i="5"/>
  <c r="F14" i="5"/>
  <c r="F15" i="5"/>
  <c r="G14" i="5" s="1"/>
  <c r="H14" i="5" s="1"/>
  <c r="F7" i="5"/>
  <c r="F15" i="4"/>
  <c r="F8" i="4"/>
  <c r="F9" i="4"/>
  <c r="F10" i="4"/>
  <c r="F11" i="4"/>
  <c r="F12" i="4"/>
  <c r="F13" i="4"/>
  <c r="F16" i="4"/>
  <c r="G15" i="4" s="1"/>
  <c r="H15" i="4" s="1"/>
  <c r="F7" i="4"/>
  <c r="F10" i="3"/>
  <c r="E17" i="3"/>
  <c r="F14" i="3" s="1"/>
  <c r="E17" i="2"/>
  <c r="F7" i="2" s="1"/>
  <c r="F16" i="1"/>
  <c r="E19" i="1"/>
  <c r="F15" i="1" s="1"/>
  <c r="G9" i="5" l="1"/>
  <c r="H9" i="5" s="1"/>
  <c r="G13" i="5"/>
  <c r="H13" i="5" s="1"/>
  <c r="G12" i="5"/>
  <c r="H12" i="5" s="1"/>
  <c r="G11" i="5"/>
  <c r="H11" i="5" s="1"/>
  <c r="G10" i="5"/>
  <c r="H10" i="5" s="1"/>
  <c r="G7" i="5"/>
  <c r="H7" i="5" s="1"/>
  <c r="G8" i="5"/>
  <c r="H8" i="5" s="1"/>
  <c r="G10" i="4"/>
  <c r="H10" i="4" s="1"/>
  <c r="G13" i="4"/>
  <c r="H13" i="4" s="1"/>
  <c r="G12" i="4"/>
  <c r="H12" i="4" s="1"/>
  <c r="G11" i="4"/>
  <c r="H11" i="4" s="1"/>
  <c r="G9" i="4"/>
  <c r="H9" i="4" s="1"/>
  <c r="G8" i="4"/>
  <c r="H8" i="4" s="1"/>
  <c r="G7" i="4"/>
  <c r="H7" i="4" s="1"/>
  <c r="G14" i="4"/>
  <c r="H14" i="4" s="1"/>
  <c r="F9" i="3"/>
  <c r="F8" i="3"/>
  <c r="F7" i="3"/>
  <c r="F16" i="3"/>
  <c r="G15" i="3" s="1"/>
  <c r="H15" i="3" s="1"/>
  <c r="F12" i="3"/>
  <c r="F15" i="3"/>
  <c r="G14" i="3" s="1"/>
  <c r="H14" i="3" s="1"/>
  <c r="F13" i="3"/>
  <c r="G12" i="3" s="1"/>
  <c r="H12" i="3" s="1"/>
  <c r="F11" i="3"/>
  <c r="G10" i="3" s="1"/>
  <c r="H10" i="3" s="1"/>
  <c r="F15" i="2"/>
  <c r="F12" i="2"/>
  <c r="F11" i="2"/>
  <c r="F13" i="1"/>
  <c r="G12" i="1" s="1"/>
  <c r="H12" i="1" s="1"/>
  <c r="F14" i="2"/>
  <c r="F13" i="2"/>
  <c r="F14" i="1"/>
  <c r="G13" i="1" s="1"/>
  <c r="H13" i="1" s="1"/>
  <c r="F16" i="2"/>
  <c r="G15" i="2" s="1"/>
  <c r="H15" i="2" s="1"/>
  <c r="F8" i="2"/>
  <c r="F17" i="1"/>
  <c r="F10" i="2"/>
  <c r="F9" i="2"/>
  <c r="F10" i="1"/>
  <c r="F18" i="1"/>
  <c r="G17" i="1" s="1"/>
  <c r="H17" i="1" s="1"/>
  <c r="F12" i="1"/>
  <c r="F11" i="1"/>
  <c r="F9" i="1"/>
  <c r="G11" i="3" l="1"/>
  <c r="H11" i="3" s="1"/>
  <c r="G9" i="3"/>
  <c r="H9" i="3" s="1"/>
  <c r="G8" i="2"/>
  <c r="H8" i="2" s="1"/>
  <c r="G9" i="2"/>
  <c r="H9" i="2" s="1"/>
  <c r="G7" i="3"/>
  <c r="H7" i="3" s="1"/>
  <c r="G8" i="3"/>
  <c r="H8" i="3" s="1"/>
  <c r="G13" i="3"/>
  <c r="H13" i="3" s="1"/>
  <c r="G11" i="1"/>
  <c r="H11" i="1" s="1"/>
  <c r="G13" i="2"/>
  <c r="H13" i="2" s="1"/>
  <c r="G10" i="2"/>
  <c r="H10" i="2" s="1"/>
  <c r="G14" i="2"/>
  <c r="H14" i="2" s="1"/>
  <c r="G10" i="1"/>
  <c r="H10" i="1" s="1"/>
  <c r="G7" i="2"/>
  <c r="H7" i="2" s="1"/>
  <c r="G12" i="2"/>
  <c r="H12" i="2" s="1"/>
  <c r="G11" i="2"/>
  <c r="H11" i="2" s="1"/>
  <c r="G9" i="1"/>
  <c r="H9" i="1" s="1"/>
  <c r="G14" i="1"/>
  <c r="H14" i="1" s="1"/>
  <c r="G16" i="1"/>
  <c r="H16" i="1" s="1"/>
  <c r="G15" i="1"/>
  <c r="H15" i="1" s="1"/>
</calcChain>
</file>

<file path=xl/sharedStrings.xml><?xml version="1.0" encoding="utf-8"?>
<sst xmlns="http://schemas.openxmlformats.org/spreadsheetml/2006/main" count="108" uniqueCount="26">
  <si>
    <t>Sample name:</t>
  </si>
  <si>
    <t>Farum, 25956</t>
  </si>
  <si>
    <t>Weight of sample (start)</t>
  </si>
  <si>
    <t>sum tom:</t>
  </si>
  <si>
    <t>sum m. sample:</t>
  </si>
  <si>
    <t>mm sieve</t>
  </si>
  <si>
    <t>Weight of empty sieve [g]</t>
  </si>
  <si>
    <t>Weight of sieve and sample [g]</t>
  </si>
  <si>
    <t>Weight of sample [g]</t>
  </si>
  <si>
    <t>Weight in %</t>
  </si>
  <si>
    <t>Cum weight  %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</si>
  <si>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</si>
  <si>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</si>
  <si>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</si>
  <si>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</si>
  <si>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</si>
  <si>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</si>
  <si>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</si>
  <si>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</si>
  <si>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</si>
  <si>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bund</t>
  </si>
  <si>
    <t>SUM:</t>
  </si>
  <si>
    <t>Gunderup , 12924</t>
  </si>
  <si>
    <t>Vejen, 12170</t>
  </si>
  <si>
    <t>Borris, 16627</t>
  </si>
  <si>
    <t>Grindsted, 16620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</si>
</sst>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4C31-4CE9-401E-8397-ED6A757E9A8C}">
  <dimension ref="A1:H20"/>
  <sheetViews>
    <sheetView workbookViewId="0">
      <selection activeCell="A21" sqref="A21:H93"/>
    </sheetView>
  </sheetViews>
  <sheetFormatPr defaultRowHeight="15" x14ac:dyDescent="0.25"/>
  <cols>
    <col min="1" max="1" width="12.42578125" bestFit="1" customWidth="1"/>
    <col min="3" max="3" width="22.140625" bestFit="1" customWidth="1"/>
    <col min="4" max="4" width="26.28515625" bestFit="1" customWidth="1"/>
    <col min="5" max="5" width="17.28515625" bestFit="1" customWidth="1"/>
    <col min="6" max="6" width="12.7109375" bestFit="1" customWidth="1"/>
  </cols>
  <sheetData>
    <row r="1" spans="1:8" x14ac:dyDescent="0.25">
      <c r="A1" s="1" t="s">
        <v>0</v>
      </c>
      <c r="B1" t="s">
        <v>1</v>
      </c>
    </row>
    <row r="2" spans="1:8" x14ac:dyDescent="0.25">
      <c r="A2" t="s">
        <v>2</v>
      </c>
      <c r="C2" s="2"/>
    </row>
    <row r="4" spans="1:8" x14ac:dyDescent="0.25">
      <c r="A4" s="3" t="s">
        <v>3</v>
      </c>
      <c r="B4" s="4"/>
      <c r="C4">
        <f>SUM(C9:C18)</f>
        <v>1077.9000000000001</v>
      </c>
    </row>
    <row r="5" spans="1:8" x14ac:dyDescent="0.25">
      <c r="A5" s="3" t="s">
        <v>4</v>
      </c>
      <c r="B5" s="4"/>
      <c r="C5">
        <v>1208.3</v>
      </c>
    </row>
    <row r="6" spans="1:8" x14ac:dyDescent="0.25">
      <c r="A6" t="s">
        <v>2</v>
      </c>
      <c r="B6" s="4"/>
      <c r="C6">
        <f>C5-C4</f>
        <v>130.39999999999986</v>
      </c>
    </row>
    <row r="7" spans="1:8" x14ac:dyDescent="0.25">
      <c r="B7" s="4"/>
    </row>
    <row r="8" spans="1:8" x14ac:dyDescent="0.25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</row>
    <row r="9" spans="1:8" x14ac:dyDescent="0.25">
      <c r="A9" s="3" t="s">
        <v>11</v>
      </c>
      <c r="B9" s="4">
        <v>2</v>
      </c>
      <c r="C9">
        <v>136</v>
      </c>
      <c r="D9">
        <v>136</v>
      </c>
      <c r="E9">
        <f>D9-C9</f>
        <v>0</v>
      </c>
      <c r="F9">
        <f>E9/$E$19*100</f>
        <v>0</v>
      </c>
      <c r="G9">
        <f>100-SUM(F10:F17)</f>
        <v>6.0606060606060481</v>
      </c>
      <c r="H9">
        <f>100-G9</f>
        <v>93.939393939393952</v>
      </c>
    </row>
    <row r="10" spans="1:8" x14ac:dyDescent="0.25">
      <c r="A10" s="3" t="s">
        <v>12</v>
      </c>
      <c r="B10" s="4">
        <v>1</v>
      </c>
      <c r="C10">
        <v>118.7</v>
      </c>
      <c r="D10">
        <v>118.7</v>
      </c>
      <c r="E10">
        <f>D10-C10</f>
        <v>0</v>
      </c>
      <c r="F10">
        <f>E10/$E$19*100</f>
        <v>0</v>
      </c>
      <c r="G10">
        <f>100-SUM(F11:F18)</f>
        <v>0</v>
      </c>
      <c r="H10">
        <f>100-G10</f>
        <v>100</v>
      </c>
    </row>
    <row r="11" spans="1:8" x14ac:dyDescent="0.25">
      <c r="A11" s="3" t="s">
        <v>13</v>
      </c>
      <c r="B11" s="4">
        <v>0.6</v>
      </c>
      <c r="C11">
        <v>117.9</v>
      </c>
      <c r="D11">
        <v>118.2</v>
      </c>
      <c r="E11">
        <f>D11-C11</f>
        <v>0.29999999999999716</v>
      </c>
      <c r="F11">
        <f>E11/$E$19*100</f>
        <v>0.22727272727272513</v>
      </c>
      <c r="G11">
        <f>100-SUM(F12:F19)</f>
        <v>0.22727272727271952</v>
      </c>
      <c r="H11">
        <f>100-G11</f>
        <v>99.77272727272728</v>
      </c>
    </row>
    <row r="12" spans="1:8" x14ac:dyDescent="0.25">
      <c r="A12" s="3" t="s">
        <v>14</v>
      </c>
      <c r="B12" s="4">
        <v>0.35499999999999998</v>
      </c>
      <c r="C12">
        <v>107</v>
      </c>
      <c r="D12">
        <v>107.4</v>
      </c>
      <c r="E12">
        <f>D12-C12</f>
        <v>0.40000000000000568</v>
      </c>
      <c r="F12">
        <f>E12/$E$19*100</f>
        <v>0.30303030303030731</v>
      </c>
      <c r="G12">
        <f>100-SUM(F13:F20)</f>
        <v>0.53030303030301695</v>
      </c>
      <c r="H12">
        <f>100-G12</f>
        <v>99.469696969696983</v>
      </c>
    </row>
    <row r="13" spans="1:8" x14ac:dyDescent="0.25">
      <c r="A13" s="3" t="s">
        <v>15</v>
      </c>
      <c r="B13" s="4">
        <v>0.25</v>
      </c>
      <c r="C13">
        <v>105.8</v>
      </c>
      <c r="D13">
        <v>108.1</v>
      </c>
      <c r="E13">
        <f>D13-C13</f>
        <v>2.2999999999999972</v>
      </c>
      <c r="F13">
        <f>E13/$E$19*100</f>
        <v>1.7424242424242402</v>
      </c>
      <c r="G13">
        <f>100-SUM(F14:F20)</f>
        <v>2.2727272727272663</v>
      </c>
      <c r="H13">
        <f>100-G13</f>
        <v>97.727272727272734</v>
      </c>
    </row>
    <row r="14" spans="1:8" x14ac:dyDescent="0.25">
      <c r="A14" s="3" t="s">
        <v>16</v>
      </c>
      <c r="B14" s="4">
        <v>0.18</v>
      </c>
      <c r="C14">
        <v>104.4</v>
      </c>
      <c r="D14">
        <v>119.7</v>
      </c>
      <c r="E14">
        <f>D14-C14</f>
        <v>15.299999999999997</v>
      </c>
      <c r="F14">
        <f>E14/$E$19*100</f>
        <v>11.59090909090909</v>
      </c>
      <c r="G14">
        <f>100-SUM(F15:F20)</f>
        <v>13.86363636363636</v>
      </c>
      <c r="H14">
        <f>100-G14</f>
        <v>86.13636363636364</v>
      </c>
    </row>
    <row r="15" spans="1:8" x14ac:dyDescent="0.25">
      <c r="A15" s="3" t="s">
        <v>17</v>
      </c>
      <c r="B15" s="4">
        <v>0.125</v>
      </c>
      <c r="C15">
        <v>103.8</v>
      </c>
      <c r="D15">
        <v>161.30000000000001</v>
      </c>
      <c r="E15">
        <f>D15-C15</f>
        <v>57.500000000000014</v>
      </c>
      <c r="F15">
        <f>E15/$E$19*100</f>
        <v>43.560606060606069</v>
      </c>
      <c r="G15">
        <f>100-SUM(F16:F20)</f>
        <v>57.424242424242422</v>
      </c>
      <c r="H15">
        <f>100-G15</f>
        <v>42.575757575757578</v>
      </c>
    </row>
    <row r="16" spans="1:8" x14ac:dyDescent="0.25">
      <c r="A16" s="3" t="s">
        <v>18</v>
      </c>
      <c r="B16" s="4">
        <v>0.09</v>
      </c>
      <c r="C16">
        <v>104.7</v>
      </c>
      <c r="D16">
        <v>141.5</v>
      </c>
      <c r="E16">
        <f>D16-C16</f>
        <v>36.799999999999997</v>
      </c>
      <c r="F16">
        <f>E16/$E$19*100</f>
        <v>27.878787878787875</v>
      </c>
      <c r="G16">
        <f>100-SUM(F17:F20)</f>
        <v>85.303030303030297</v>
      </c>
      <c r="H16">
        <f>100-G16</f>
        <v>14.696969696969703</v>
      </c>
    </row>
    <row r="17" spans="1:8" x14ac:dyDescent="0.25">
      <c r="A17" s="3" t="s">
        <v>19</v>
      </c>
      <c r="B17" s="4">
        <v>6.3E-2</v>
      </c>
      <c r="C17">
        <v>104.6</v>
      </c>
      <c r="D17">
        <v>116</v>
      </c>
      <c r="E17">
        <f>D17-C17</f>
        <v>11.400000000000006</v>
      </c>
      <c r="F17">
        <f>E17/$E$19*100</f>
        <v>8.6363636363636402</v>
      </c>
      <c r="G17">
        <f>100-SUM(F18:F20)</f>
        <v>93.939393939393938</v>
      </c>
      <c r="H17">
        <f>100-G17</f>
        <v>6.0606060606060623</v>
      </c>
    </row>
    <row r="18" spans="1:8" x14ac:dyDescent="0.25">
      <c r="A18" s="3" t="s">
        <v>20</v>
      </c>
      <c r="B18" s="4"/>
      <c r="C18">
        <v>75</v>
      </c>
      <c r="D18">
        <v>83</v>
      </c>
      <c r="E18">
        <f>D18-C18</f>
        <v>8</v>
      </c>
      <c r="F18">
        <f>E18/$E$19*100</f>
        <v>6.0606060606060606</v>
      </c>
      <c r="G18">
        <f>100-SUM(F19:F20)</f>
        <v>100</v>
      </c>
      <c r="H18">
        <f>100-G18</f>
        <v>0</v>
      </c>
    </row>
    <row r="19" spans="1:8" x14ac:dyDescent="0.25">
      <c r="A19" s="3" t="s">
        <v>21</v>
      </c>
      <c r="E19" s="5">
        <f>SUM(E9:E18)</f>
        <v>132</v>
      </c>
    </row>
    <row r="20" spans="1:8" x14ac:dyDescent="0.25">
      <c r="A20" s="3"/>
      <c r="E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81C5-CC24-4EA6-81E0-CB5BED64C5DA}">
  <dimension ref="A1:H17"/>
  <sheetViews>
    <sheetView topLeftCell="A36" workbookViewId="0">
      <selection activeCell="A19" sqref="A19:H73"/>
    </sheetView>
  </sheetViews>
  <sheetFormatPr defaultRowHeight="15" x14ac:dyDescent="0.25"/>
  <sheetData>
    <row r="1" spans="1:8" x14ac:dyDescent="0.25">
      <c r="A1" s="1" t="s">
        <v>0</v>
      </c>
      <c r="B1" t="s">
        <v>22</v>
      </c>
    </row>
    <row r="2" spans="1:8" x14ac:dyDescent="0.25">
      <c r="A2" s="3" t="s">
        <v>3</v>
      </c>
      <c r="B2" s="4"/>
      <c r="C2">
        <v>1076.8</v>
      </c>
    </row>
    <row r="3" spans="1:8" x14ac:dyDescent="0.25">
      <c r="A3" s="3" t="s">
        <v>4</v>
      </c>
      <c r="B3" s="4"/>
      <c r="C3">
        <v>1211.5</v>
      </c>
    </row>
    <row r="4" spans="1:8" x14ac:dyDescent="0.25">
      <c r="A4" t="s">
        <v>2</v>
      </c>
      <c r="B4" s="4"/>
      <c r="C4">
        <f>C3-C2</f>
        <v>134.70000000000005</v>
      </c>
    </row>
    <row r="5" spans="1:8" x14ac:dyDescent="0.25">
      <c r="C5" s="2"/>
    </row>
    <row r="6" spans="1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8" x14ac:dyDescent="0.25">
      <c r="A7" s="3" t="s">
        <v>11</v>
      </c>
      <c r="B7" s="4">
        <v>2</v>
      </c>
      <c r="C7">
        <v>136</v>
      </c>
      <c r="D7">
        <v>137</v>
      </c>
      <c r="E7">
        <f>D7-C7</f>
        <v>1</v>
      </c>
      <c r="F7">
        <f>E7/$E$17*100</f>
        <v>0.74239049740163332</v>
      </c>
      <c r="G7">
        <f>100-SUM(F8:F15)</f>
        <v>1.2620638455827731</v>
      </c>
      <c r="H7">
        <f>100-G7</f>
        <v>98.737936154417227</v>
      </c>
    </row>
    <row r="8" spans="1:8" x14ac:dyDescent="0.25">
      <c r="A8" s="3" t="s">
        <v>12</v>
      </c>
      <c r="B8" s="4">
        <v>1</v>
      </c>
      <c r="C8">
        <v>118.7</v>
      </c>
      <c r="D8">
        <f>C8+E8</f>
        <v>124.10000000000001</v>
      </c>
      <c r="E8">
        <v>5.4</v>
      </c>
      <c r="F8">
        <f>E8/$E$17*100</f>
        <v>4.0089086859688194</v>
      </c>
      <c r="G8">
        <f>100-SUM(F9:F16)</f>
        <v>4.751299183370449</v>
      </c>
      <c r="H8">
        <f>100-G8</f>
        <v>95.248700816629551</v>
      </c>
    </row>
    <row r="9" spans="1:8" x14ac:dyDescent="0.25">
      <c r="A9" s="3" t="s">
        <v>13</v>
      </c>
      <c r="B9" s="4">
        <v>0.6</v>
      </c>
      <c r="C9">
        <v>117.9</v>
      </c>
      <c r="D9">
        <v>133.1</v>
      </c>
      <c r="E9">
        <f>D9-C9</f>
        <v>15.199999999999989</v>
      </c>
      <c r="F9">
        <f>E9/$E$17*100</f>
        <v>11.284335560504818</v>
      </c>
      <c r="G9">
        <f>100-SUM(F10:F17)</f>
        <v>16.035634743875278</v>
      </c>
      <c r="H9">
        <f>100-G9</f>
        <v>83.964365256124722</v>
      </c>
    </row>
    <row r="10" spans="1:8" x14ac:dyDescent="0.25">
      <c r="A10" s="3" t="s">
        <v>14</v>
      </c>
      <c r="B10" s="4">
        <v>0.35499999999999998</v>
      </c>
      <c r="C10">
        <v>107</v>
      </c>
      <c r="D10">
        <v>151.30000000000001</v>
      </c>
      <c r="E10">
        <f>D10-C10</f>
        <v>44.300000000000011</v>
      </c>
      <c r="F10">
        <f>E10/$E$17*100</f>
        <v>32.887899034892364</v>
      </c>
      <c r="G10">
        <f>100-SUM(F11:F18)</f>
        <v>48.923533778767634</v>
      </c>
      <c r="H10">
        <f>100-G10</f>
        <v>51.076466221232366</v>
      </c>
    </row>
    <row r="11" spans="1:8" x14ac:dyDescent="0.25">
      <c r="A11" s="3" t="s">
        <v>15</v>
      </c>
      <c r="B11" s="4">
        <v>0.25</v>
      </c>
      <c r="C11">
        <v>105.8</v>
      </c>
      <c r="D11">
        <v>145.69999999999999</v>
      </c>
      <c r="E11">
        <f>D11-C11</f>
        <v>39.899999999999991</v>
      </c>
      <c r="F11">
        <f>E11/$E$17*100</f>
        <v>29.621380846325163</v>
      </c>
      <c r="G11">
        <f>100-SUM(F12:F18)</f>
        <v>78.544914625092787</v>
      </c>
      <c r="H11">
        <f>100-G11</f>
        <v>21.455085374907213</v>
      </c>
    </row>
    <row r="12" spans="1:8" x14ac:dyDescent="0.25">
      <c r="A12" s="3" t="s">
        <v>16</v>
      </c>
      <c r="B12" s="4">
        <v>0.18</v>
      </c>
      <c r="C12">
        <v>104.4</v>
      </c>
      <c r="D12">
        <v>120.5</v>
      </c>
      <c r="E12">
        <f>D12-C12</f>
        <v>16.099999999999994</v>
      </c>
      <c r="F12">
        <f>E12/$E$17*100</f>
        <v>11.952487008166292</v>
      </c>
      <c r="G12">
        <f>100-SUM(F13:F18)</f>
        <v>90.497401633259088</v>
      </c>
      <c r="H12">
        <f>100-G12</f>
        <v>9.5025983667409122</v>
      </c>
    </row>
    <row r="13" spans="1:8" x14ac:dyDescent="0.25">
      <c r="A13" s="3" t="s">
        <v>17</v>
      </c>
      <c r="B13" s="4">
        <v>0.125</v>
      </c>
      <c r="C13">
        <v>103.8</v>
      </c>
      <c r="D13">
        <v>112.6</v>
      </c>
      <c r="E13">
        <f>D13-C13</f>
        <v>8.7999999999999972</v>
      </c>
      <c r="F13">
        <f>E13/$E$17*100</f>
        <v>6.5330363771343709</v>
      </c>
      <c r="G13">
        <f>100-SUM(F14:F18)</f>
        <v>97.030438010393453</v>
      </c>
      <c r="H13">
        <f>100-G13</f>
        <v>2.9695619896065466</v>
      </c>
    </row>
    <row r="14" spans="1:8" x14ac:dyDescent="0.25">
      <c r="A14" s="3" t="s">
        <v>18</v>
      </c>
      <c r="B14" s="4">
        <v>0.09</v>
      </c>
      <c r="C14">
        <v>104.7</v>
      </c>
      <c r="D14">
        <v>106.9</v>
      </c>
      <c r="E14">
        <f>D14-C14</f>
        <v>2.2000000000000028</v>
      </c>
      <c r="F14">
        <f>E14/$E$17*100</f>
        <v>1.6332590942835952</v>
      </c>
      <c r="G14">
        <f>100-SUM(F15:F18)</f>
        <v>98.663697104677055</v>
      </c>
      <c r="H14">
        <f>100-G14</f>
        <v>1.3363028953229446</v>
      </c>
    </row>
    <row r="15" spans="1:8" x14ac:dyDescent="0.25">
      <c r="A15" s="3" t="s">
        <v>19</v>
      </c>
      <c r="B15" s="4">
        <v>6.3E-2</v>
      </c>
      <c r="C15">
        <v>104.6</v>
      </c>
      <c r="D15">
        <v>105.7</v>
      </c>
      <c r="E15">
        <f>D15-C15</f>
        <v>1.1000000000000085</v>
      </c>
      <c r="F15">
        <f>E15/$E$17*100</f>
        <v>0.81662954714180302</v>
      </c>
      <c r="G15">
        <f>100-SUM(F16:F18)</f>
        <v>99.480326651818856</v>
      </c>
      <c r="H15">
        <f>100-G15</f>
        <v>0.51967334818114352</v>
      </c>
    </row>
    <row r="16" spans="1:8" x14ac:dyDescent="0.25">
      <c r="A16" s="3" t="s">
        <v>20</v>
      </c>
      <c r="B16" s="4"/>
      <c r="C16">
        <v>75</v>
      </c>
      <c r="D16">
        <v>75.7</v>
      </c>
      <c r="E16">
        <f>D16-C16</f>
        <v>0.70000000000000284</v>
      </c>
      <c r="F16">
        <f>E16/$E$17*100</f>
        <v>0.51967334818114552</v>
      </c>
      <c r="G16">
        <f>100-SUM(F17:F18)</f>
        <v>100</v>
      </c>
      <c r="H16">
        <f>100-G16</f>
        <v>0</v>
      </c>
    </row>
    <row r="17" spans="1:5" x14ac:dyDescent="0.25">
      <c r="A17" s="3" t="s">
        <v>21</v>
      </c>
      <c r="E17" s="5">
        <f>SUM(E7:E16)</f>
        <v>134.69999999999999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C8BD-313F-4432-BE70-B0F6514B6352}">
  <dimension ref="A1:H17"/>
  <sheetViews>
    <sheetView workbookViewId="0">
      <selection activeCell="F28" sqref="F28"/>
    </sheetView>
  </sheetViews>
  <sheetFormatPr defaultRowHeight="15" x14ac:dyDescent="0.25"/>
  <sheetData>
    <row r="1" spans="1:8" x14ac:dyDescent="0.25">
      <c r="A1" s="1" t="s">
        <v>0</v>
      </c>
      <c r="B1" t="s">
        <v>23</v>
      </c>
    </row>
    <row r="2" spans="1:8" x14ac:dyDescent="0.25">
      <c r="A2" s="3" t="s">
        <v>3</v>
      </c>
      <c r="B2" s="4"/>
      <c r="C2">
        <v>1076.5999999999999</v>
      </c>
    </row>
    <row r="3" spans="1:8" x14ac:dyDescent="0.25">
      <c r="A3" s="3" t="s">
        <v>4</v>
      </c>
      <c r="B3" s="4"/>
      <c r="C3">
        <v>1220.0999999999999</v>
      </c>
    </row>
    <row r="4" spans="1:8" x14ac:dyDescent="0.25">
      <c r="A4" t="s">
        <v>2</v>
      </c>
      <c r="B4" s="4"/>
      <c r="C4">
        <f>C3-C2</f>
        <v>143.5</v>
      </c>
    </row>
    <row r="6" spans="1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8" x14ac:dyDescent="0.25">
      <c r="A7" s="3" t="s">
        <v>11</v>
      </c>
      <c r="B7" s="4">
        <v>2</v>
      </c>
      <c r="C7">
        <v>136</v>
      </c>
      <c r="D7">
        <v>136</v>
      </c>
      <c r="E7">
        <f>D7-C7</f>
        <v>0</v>
      </c>
      <c r="F7">
        <f>E7/$E$17*100</f>
        <v>0</v>
      </c>
      <c r="G7">
        <f>100-SUM(F8:F15)</f>
        <v>-0.21067415730337302</v>
      </c>
      <c r="H7">
        <f>100-G7</f>
        <v>100.21067415730337</v>
      </c>
    </row>
    <row r="8" spans="1:8" x14ac:dyDescent="0.25">
      <c r="A8" s="3" t="s">
        <v>12</v>
      </c>
      <c r="B8" s="4">
        <v>1</v>
      </c>
      <c r="C8">
        <v>118.7</v>
      </c>
      <c r="D8">
        <v>132</v>
      </c>
      <c r="E8">
        <f>D8-C8</f>
        <v>13.299999999999997</v>
      </c>
      <c r="F8">
        <f>E8/$E$17*100</f>
        <v>9.3398876404494366</v>
      </c>
      <c r="G8">
        <f>100-SUM(F9:F16)</f>
        <v>9.3398876404494331</v>
      </c>
      <c r="H8">
        <f>100-G8</f>
        <v>90.660112359550567</v>
      </c>
    </row>
    <row r="9" spans="1:8" x14ac:dyDescent="0.25">
      <c r="A9" s="3" t="s">
        <v>13</v>
      </c>
      <c r="B9" s="4">
        <v>0.6</v>
      </c>
      <c r="C9">
        <v>117.9</v>
      </c>
      <c r="D9">
        <v>144.6</v>
      </c>
      <c r="E9">
        <f>D9-C9</f>
        <v>26.699999999999989</v>
      </c>
      <c r="F9">
        <f>E9/$E$17*100</f>
        <v>18.749999999999993</v>
      </c>
      <c r="G9">
        <f>100-SUM(F10:F17)</f>
        <v>28.089887640449433</v>
      </c>
      <c r="H9">
        <f>100-G9</f>
        <v>71.910112359550567</v>
      </c>
    </row>
    <row r="10" spans="1:8" x14ac:dyDescent="0.25">
      <c r="A10" s="3" t="s">
        <v>14</v>
      </c>
      <c r="B10" s="4">
        <v>0.35499999999999998</v>
      </c>
      <c r="C10">
        <v>107</v>
      </c>
      <c r="D10">
        <v>161.30000000000001</v>
      </c>
      <c r="E10">
        <f>D10-C10</f>
        <v>54.300000000000011</v>
      </c>
      <c r="F10">
        <f>E10/$E$17*100</f>
        <v>38.132022471910126</v>
      </c>
      <c r="G10">
        <f>100-SUM(F11:F19)</f>
        <v>66.221910112359552</v>
      </c>
      <c r="H10">
        <f>100-G10</f>
        <v>33.778089887640448</v>
      </c>
    </row>
    <row r="11" spans="1:8" x14ac:dyDescent="0.25">
      <c r="A11" s="3" t="s">
        <v>15</v>
      </c>
      <c r="B11" s="4">
        <v>0.25</v>
      </c>
      <c r="C11">
        <v>105.8</v>
      </c>
      <c r="D11">
        <v>137.6</v>
      </c>
      <c r="E11">
        <f>D11-C11</f>
        <v>31.799999999999997</v>
      </c>
      <c r="F11">
        <f>E11/$E$17*100</f>
        <v>22.331460674157306</v>
      </c>
      <c r="G11">
        <f>100-SUM(F12:F19)</f>
        <v>88.553370786516851</v>
      </c>
      <c r="H11">
        <f>100-G11</f>
        <v>11.446629213483149</v>
      </c>
    </row>
    <row r="12" spans="1:8" x14ac:dyDescent="0.25">
      <c r="A12" s="3" t="s">
        <v>16</v>
      </c>
      <c r="B12" s="4">
        <v>0.18</v>
      </c>
      <c r="C12">
        <v>104.4</v>
      </c>
      <c r="D12">
        <v>114.7</v>
      </c>
      <c r="E12">
        <f>D12-C12</f>
        <v>10.299999999999997</v>
      </c>
      <c r="F12">
        <f>E12/$E$17*100</f>
        <v>7.2331460674157295</v>
      </c>
      <c r="G12">
        <f>100-SUM(F13:F19)</f>
        <v>95.786516853932582</v>
      </c>
      <c r="H12">
        <f>100-G12</f>
        <v>4.2134831460674178</v>
      </c>
    </row>
    <row r="13" spans="1:8" x14ac:dyDescent="0.25">
      <c r="A13" s="3" t="s">
        <v>17</v>
      </c>
      <c r="B13" s="4">
        <v>0.125</v>
      </c>
      <c r="C13">
        <v>103.8</v>
      </c>
      <c r="D13">
        <v>109.6</v>
      </c>
      <c r="E13">
        <f>D13-C13</f>
        <v>5.7999999999999972</v>
      </c>
      <c r="F13">
        <f>E13/$E$17*100</f>
        <v>4.0730337078651671</v>
      </c>
      <c r="G13">
        <f>100-SUM(F14:F19)</f>
        <v>99.859550561797747</v>
      </c>
      <c r="H13">
        <f>100-G13</f>
        <v>0.14044943820225342</v>
      </c>
    </row>
    <row r="14" spans="1:8" x14ac:dyDescent="0.25">
      <c r="A14" s="3" t="s">
        <v>18</v>
      </c>
      <c r="B14" s="4">
        <v>0.09</v>
      </c>
      <c r="C14">
        <v>104.7</v>
      </c>
      <c r="D14">
        <v>105.5</v>
      </c>
      <c r="E14">
        <f>D14-C14</f>
        <v>0.79999999999999716</v>
      </c>
      <c r="F14">
        <f>E14/$E$17*100</f>
        <v>0.56179775280898681</v>
      </c>
      <c r="G14">
        <f>100-SUM(F15:F19)</f>
        <v>100.42134831460673</v>
      </c>
      <c r="H14">
        <f>100-G14</f>
        <v>-0.42134831460673183</v>
      </c>
    </row>
    <row r="15" spans="1:8" x14ac:dyDescent="0.25">
      <c r="A15" s="3" t="s">
        <v>19</v>
      </c>
      <c r="B15" s="4">
        <v>6.3E-2</v>
      </c>
      <c r="C15">
        <v>104.6</v>
      </c>
      <c r="D15">
        <v>104.3</v>
      </c>
      <c r="E15">
        <f>D15-C15</f>
        <v>-0.29999999999999716</v>
      </c>
      <c r="F15">
        <f>E15/$E$17*100</f>
        <v>-0.21067415730336883</v>
      </c>
      <c r="G15">
        <f>100-SUM(F16:F19)</f>
        <v>100.21067415730337</v>
      </c>
      <c r="H15">
        <f>100-G15</f>
        <v>-0.21067415730337302</v>
      </c>
    </row>
    <row r="16" spans="1:8" x14ac:dyDescent="0.25">
      <c r="A16" s="3" t="s">
        <v>20</v>
      </c>
      <c r="B16" s="4"/>
      <c r="C16">
        <v>75</v>
      </c>
      <c r="D16">
        <v>74.7</v>
      </c>
      <c r="E16">
        <f>D16-C16</f>
        <v>-0.29999999999999716</v>
      </c>
      <c r="F16">
        <f>E16/$E$17*100</f>
        <v>-0.21067415730336883</v>
      </c>
      <c r="G16">
        <f>100-SUM(F17:F19)</f>
        <v>100</v>
      </c>
      <c r="H16">
        <f>100-G16</f>
        <v>0</v>
      </c>
    </row>
    <row r="17" spans="5:5" x14ac:dyDescent="0.25">
      <c r="E17" s="5">
        <f>SUM(E7:E16)</f>
        <v>142.39999999999998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3144-C3AC-4722-A525-04F07FE379FC}">
  <dimension ref="A1:H17"/>
  <sheetViews>
    <sheetView tabSelected="1" workbookViewId="0">
      <selection activeCell="I36" sqref="I36"/>
    </sheetView>
  </sheetViews>
  <sheetFormatPr defaultRowHeight="15" x14ac:dyDescent="0.25"/>
  <sheetData>
    <row r="1" spans="1:8" x14ac:dyDescent="0.25">
      <c r="A1" s="1" t="s">
        <v>0</v>
      </c>
      <c r="B1" t="s">
        <v>24</v>
      </c>
    </row>
    <row r="2" spans="1:8" x14ac:dyDescent="0.25">
      <c r="A2" s="3" t="s">
        <v>3</v>
      </c>
      <c r="B2" s="4"/>
      <c r="C2">
        <v>1076.5999999999999</v>
      </c>
    </row>
    <row r="3" spans="1:8" x14ac:dyDescent="0.25">
      <c r="A3" s="3" t="s">
        <v>4</v>
      </c>
      <c r="B3" s="4"/>
      <c r="C3">
        <v>1214.7</v>
      </c>
    </row>
    <row r="4" spans="1:8" x14ac:dyDescent="0.25">
      <c r="A4" t="s">
        <v>2</v>
      </c>
      <c r="B4" s="4"/>
      <c r="C4">
        <f>C3-C2</f>
        <v>138.10000000000014</v>
      </c>
    </row>
    <row r="6" spans="1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8" x14ac:dyDescent="0.25">
      <c r="A7" s="3" t="s">
        <v>11</v>
      </c>
      <c r="B7" s="4">
        <v>2</v>
      </c>
      <c r="C7">
        <v>136</v>
      </c>
      <c r="D7">
        <v>136.19999999999999</v>
      </c>
      <c r="E7">
        <f>D7-C7</f>
        <v>0.19999999999998863</v>
      </c>
      <c r="F7">
        <f>E7/$E$17*100</f>
        <v>0.14641288433381311</v>
      </c>
      <c r="G7">
        <f>100-SUM(F8:F16)</f>
        <v>0.14641288433381305</v>
      </c>
      <c r="H7">
        <f>100-G7</f>
        <v>99.853587115666187</v>
      </c>
    </row>
    <row r="8" spans="1:8" x14ac:dyDescent="0.25">
      <c r="A8" s="3" t="s">
        <v>12</v>
      </c>
      <c r="B8" s="4">
        <v>1</v>
      </c>
      <c r="C8">
        <v>118.7</v>
      </c>
      <c r="D8">
        <v>120.7</v>
      </c>
      <c r="E8">
        <f>D8-C8</f>
        <v>2</v>
      </c>
      <c r="F8">
        <f>E8/$E$17*100</f>
        <v>1.4641288433382142</v>
      </c>
      <c r="G8">
        <f>100-SUM(F9:F16)</f>
        <v>1.6105417276720289</v>
      </c>
      <c r="H8">
        <f>100-G8</f>
        <v>98.389458272327971</v>
      </c>
    </row>
    <row r="9" spans="1:8" x14ac:dyDescent="0.25">
      <c r="A9" s="3" t="s">
        <v>13</v>
      </c>
      <c r="B9" s="4">
        <v>0.6</v>
      </c>
      <c r="C9">
        <v>117.9</v>
      </c>
      <c r="D9">
        <v>134.69999999999999</v>
      </c>
      <c r="E9">
        <f>D9-C9</f>
        <v>16.799999999999983</v>
      </c>
      <c r="F9">
        <f>E9/$E$17*100</f>
        <v>12.298682284040986</v>
      </c>
      <c r="G9">
        <f>100-SUM(F10:F17)</f>
        <v>13.909224011713007</v>
      </c>
      <c r="H9">
        <f>100-G9</f>
        <v>86.090775988286993</v>
      </c>
    </row>
    <row r="10" spans="1:8" x14ac:dyDescent="0.25">
      <c r="A10" s="3" t="s">
        <v>14</v>
      </c>
      <c r="B10" s="4">
        <v>0.35499999999999998</v>
      </c>
      <c r="C10">
        <v>107</v>
      </c>
      <c r="D10">
        <v>170.7</v>
      </c>
      <c r="E10">
        <f>D10-C10</f>
        <v>63.699999999999989</v>
      </c>
      <c r="F10">
        <f>E10/$E$17*100</f>
        <v>46.632503660322108</v>
      </c>
      <c r="G10">
        <f>100-SUM(F11:F19)</f>
        <v>60.541727672035123</v>
      </c>
      <c r="H10">
        <f>100-G10</f>
        <v>39.458272327964877</v>
      </c>
    </row>
    <row r="11" spans="1:8" x14ac:dyDescent="0.25">
      <c r="A11" s="3" t="s">
        <v>15</v>
      </c>
      <c r="B11" s="4">
        <v>0.25</v>
      </c>
      <c r="C11">
        <v>105.8</v>
      </c>
      <c r="D11">
        <v>141.4</v>
      </c>
      <c r="E11">
        <f>D11-C11</f>
        <v>35.600000000000009</v>
      </c>
      <c r="F11">
        <f>E11/$E$17*100</f>
        <v>26.061493411420216</v>
      </c>
      <c r="G11">
        <f>100-SUM(F12:F19)</f>
        <v>86.603221083455338</v>
      </c>
      <c r="H11">
        <f>100-G11</f>
        <v>13.396778916544662</v>
      </c>
    </row>
    <row r="12" spans="1:8" x14ac:dyDescent="0.25">
      <c r="A12" s="3" t="s">
        <v>16</v>
      </c>
      <c r="B12" s="4">
        <v>0.18</v>
      </c>
      <c r="C12">
        <v>104.4</v>
      </c>
      <c r="D12">
        <v>118.6</v>
      </c>
      <c r="E12">
        <f>D12-C12</f>
        <v>14.199999999999989</v>
      </c>
      <c r="F12">
        <f>E12/$E$17*100</f>
        <v>10.395314787701313</v>
      </c>
      <c r="G12">
        <f>100-SUM(F13:F19)</f>
        <v>96.998535871156648</v>
      </c>
      <c r="H12">
        <f>100-G12</f>
        <v>3.0014641288433523</v>
      </c>
    </row>
    <row r="13" spans="1:8" x14ac:dyDescent="0.25">
      <c r="A13" s="3" t="s">
        <v>17</v>
      </c>
      <c r="B13" s="4">
        <v>0.125</v>
      </c>
      <c r="C13">
        <v>103.8</v>
      </c>
      <c r="D13">
        <v>108.2</v>
      </c>
      <c r="E13">
        <f>D13-C13</f>
        <v>4.4000000000000057</v>
      </c>
      <c r="F13">
        <f>E13/$E$17*100</f>
        <v>3.221083455344075</v>
      </c>
      <c r="G13">
        <f>100-SUM(F14:F19)</f>
        <v>100.21961932650072</v>
      </c>
      <c r="H13">
        <f>100-G13</f>
        <v>-0.21961932650071958</v>
      </c>
    </row>
    <row r="14" spans="1:8" x14ac:dyDescent="0.25">
      <c r="A14" s="3" t="s">
        <v>18</v>
      </c>
      <c r="B14" s="4">
        <v>0.09</v>
      </c>
      <c r="C14">
        <v>104.7</v>
      </c>
      <c r="D14">
        <v>104.9</v>
      </c>
      <c r="E14">
        <f>D14-C14</f>
        <v>0.20000000000000284</v>
      </c>
      <c r="F14">
        <f>E14/$E$17*100</f>
        <v>0.14641288433382349</v>
      </c>
      <c r="G14">
        <f>100-SUM(F15:F19)</f>
        <v>100.36603221083455</v>
      </c>
      <c r="H14">
        <f>100-G14</f>
        <v>-0.36603221083454685</v>
      </c>
    </row>
    <row r="15" spans="1:8" x14ac:dyDescent="0.25">
      <c r="A15" s="3" t="s">
        <v>19</v>
      </c>
      <c r="B15" s="4">
        <v>6.3E-2</v>
      </c>
      <c r="C15">
        <v>104.6</v>
      </c>
      <c r="D15">
        <v>104.4</v>
      </c>
      <c r="E15">
        <f>D15-C15</f>
        <v>-0.19999999999998863</v>
      </c>
      <c r="F15">
        <f>E15/$E$17*100</f>
        <v>-0.14641288433381311</v>
      </c>
      <c r="G15">
        <f>100-SUM(F16:F19)</f>
        <v>100.21961932650073</v>
      </c>
      <c r="H15">
        <f>100-G15</f>
        <v>-0.21961932650073379</v>
      </c>
    </row>
    <row r="16" spans="1:8" x14ac:dyDescent="0.25">
      <c r="A16" s="3" t="s">
        <v>20</v>
      </c>
      <c r="B16" s="4"/>
      <c r="C16">
        <v>75</v>
      </c>
      <c r="D16">
        <v>74.7</v>
      </c>
      <c r="E16">
        <f>D16-C16</f>
        <v>-0.29999999999999716</v>
      </c>
      <c r="F16">
        <f>E16/$E$17*100</f>
        <v>-0.21961932650073004</v>
      </c>
      <c r="G16">
        <f>100-SUM(F17:F19)</f>
        <v>100</v>
      </c>
      <c r="H16">
        <f>100-G16</f>
        <v>0</v>
      </c>
    </row>
    <row r="17" spans="5:5" x14ac:dyDescent="0.25">
      <c r="E17" s="5">
        <f>SUM(E7:E16)</f>
        <v>136.59999999999997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BEB5-D73C-4572-979A-05355386C5DF}">
  <dimension ref="A1:H17"/>
  <sheetViews>
    <sheetView workbookViewId="0">
      <selection sqref="A1:H17"/>
    </sheetView>
  </sheetViews>
  <sheetFormatPr defaultRowHeight="15" x14ac:dyDescent="0.25"/>
  <sheetData>
    <row r="1" spans="1:8" x14ac:dyDescent="0.25">
      <c r="A1" s="1" t="s">
        <v>0</v>
      </c>
      <c r="B1" t="s">
        <v>25</v>
      </c>
    </row>
    <row r="2" spans="1:8" x14ac:dyDescent="0.25">
      <c r="A2" s="3" t="s">
        <v>3</v>
      </c>
      <c r="B2" s="4"/>
      <c r="C2">
        <v>1076.4000000000001</v>
      </c>
    </row>
    <row r="3" spans="1:8" x14ac:dyDescent="0.25">
      <c r="A3" s="3" t="s">
        <v>4</v>
      </c>
      <c r="B3" s="4"/>
      <c r="C3">
        <v>1215.5</v>
      </c>
    </row>
    <row r="4" spans="1:8" x14ac:dyDescent="0.25">
      <c r="A4" t="s">
        <v>2</v>
      </c>
      <c r="B4" s="4"/>
      <c r="C4">
        <f>C3-C2</f>
        <v>139.09999999999991</v>
      </c>
    </row>
    <row r="6" spans="1:8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8" x14ac:dyDescent="0.25">
      <c r="A7" s="3" t="s">
        <v>11</v>
      </c>
      <c r="B7" s="4">
        <v>2</v>
      </c>
      <c r="C7">
        <v>136</v>
      </c>
      <c r="D7">
        <v>136.9</v>
      </c>
      <c r="E7">
        <f>D7-C7</f>
        <v>0.90000000000000568</v>
      </c>
      <c r="F7">
        <f>E7/$E$17*100</f>
        <v>0.65406976744186462</v>
      </c>
      <c r="G7">
        <f>100-SUM(F8:F16)</f>
        <v>0.65406976744183964</v>
      </c>
      <c r="H7">
        <f>100-G7</f>
        <v>99.34593023255816</v>
      </c>
    </row>
    <row r="8" spans="1:8" x14ac:dyDescent="0.25">
      <c r="A8" s="3" t="s">
        <v>12</v>
      </c>
      <c r="B8" s="4">
        <v>1</v>
      </c>
      <c r="C8">
        <v>118.7</v>
      </c>
      <c r="D8">
        <v>120.6</v>
      </c>
      <c r="E8">
        <f>D8-C8</f>
        <v>1.8999999999999915</v>
      </c>
      <c r="F8">
        <f>E8/$E$17*100</f>
        <v>1.3808139534883659</v>
      </c>
      <c r="G8">
        <f>100-SUM(F9:F16)</f>
        <v>2.0348837209302104</v>
      </c>
      <c r="H8">
        <f>100-G8</f>
        <v>97.96511627906979</v>
      </c>
    </row>
    <row r="9" spans="1:8" x14ac:dyDescent="0.25">
      <c r="A9" s="3" t="s">
        <v>13</v>
      </c>
      <c r="B9" s="4">
        <v>0.6</v>
      </c>
      <c r="C9">
        <v>117.9</v>
      </c>
      <c r="D9">
        <v>124.3</v>
      </c>
      <c r="E9">
        <f>D9-C9</f>
        <v>6.3999999999999915</v>
      </c>
      <c r="F9">
        <f>E9/$E$17*100</f>
        <v>4.6511627906976685</v>
      </c>
      <c r="G9">
        <f>100-SUM(F10:F17)</f>
        <v>6.6860465116278789</v>
      </c>
      <c r="H9">
        <f>100-G9</f>
        <v>93.313953488372121</v>
      </c>
    </row>
    <row r="10" spans="1:8" x14ac:dyDescent="0.25">
      <c r="A10" s="3" t="s">
        <v>14</v>
      </c>
      <c r="B10" s="4">
        <v>0.35499999999999998</v>
      </c>
      <c r="C10">
        <v>107</v>
      </c>
      <c r="D10">
        <v>138.30000000000001</v>
      </c>
      <c r="E10">
        <f>D10-C10</f>
        <v>31.300000000000011</v>
      </c>
      <c r="F10">
        <f>E10/$E$17*100</f>
        <v>22.747093023255825</v>
      </c>
      <c r="G10">
        <f>100-SUM(F11:F17)</f>
        <v>29.433139534883708</v>
      </c>
      <c r="H10">
        <f>100-G10</f>
        <v>70.566860465116292</v>
      </c>
    </row>
    <row r="11" spans="1:8" x14ac:dyDescent="0.25">
      <c r="A11" s="3" t="s">
        <v>15</v>
      </c>
      <c r="B11" s="4">
        <v>0.25</v>
      </c>
      <c r="C11">
        <v>105.8</v>
      </c>
      <c r="D11">
        <v>152.4</v>
      </c>
      <c r="E11">
        <f>D11-C11</f>
        <v>46.600000000000009</v>
      </c>
      <c r="F11">
        <f>E11/$E$17*100</f>
        <v>33.866279069767451</v>
      </c>
      <c r="G11">
        <f>100-SUM(F12:F17)</f>
        <v>63.299418604651159</v>
      </c>
      <c r="H11">
        <f>100-G11</f>
        <v>36.700581395348841</v>
      </c>
    </row>
    <row r="12" spans="1:8" x14ac:dyDescent="0.25">
      <c r="A12" s="3" t="s">
        <v>16</v>
      </c>
      <c r="B12" s="4">
        <v>0.18</v>
      </c>
      <c r="C12">
        <v>104.4</v>
      </c>
      <c r="D12">
        <v>131.4</v>
      </c>
      <c r="E12">
        <f>D12-C12</f>
        <v>27</v>
      </c>
      <c r="F12">
        <f>E12/$E$17*100</f>
        <v>19.622093023255815</v>
      </c>
      <c r="G12">
        <f>100-SUM(F13:F17)</f>
        <v>82.92151162790698</v>
      </c>
      <c r="H12">
        <f>100-G12</f>
        <v>17.07848837209302</v>
      </c>
    </row>
    <row r="13" spans="1:8" x14ac:dyDescent="0.25">
      <c r="A13" s="3" t="s">
        <v>17</v>
      </c>
      <c r="B13" s="4">
        <v>0.125</v>
      </c>
      <c r="C13">
        <v>103.8</v>
      </c>
      <c r="D13">
        <v>121.2</v>
      </c>
      <c r="E13">
        <f>D13-C13</f>
        <v>17.400000000000006</v>
      </c>
      <c r="F13">
        <f>E13/$E$17*100</f>
        <v>12.645348837209308</v>
      </c>
      <c r="G13">
        <f>100-SUM(F14:F17)</f>
        <v>95.566860465116278</v>
      </c>
      <c r="H13">
        <f>100-G13</f>
        <v>4.4331395348837219</v>
      </c>
    </row>
    <row r="14" spans="1:8" x14ac:dyDescent="0.25">
      <c r="A14" s="3" t="s">
        <v>18</v>
      </c>
      <c r="B14" s="4">
        <v>0.09</v>
      </c>
      <c r="C14">
        <v>104.7</v>
      </c>
      <c r="D14">
        <v>109.6</v>
      </c>
      <c r="E14">
        <f>D14-C14</f>
        <v>4.8999999999999915</v>
      </c>
      <c r="F14">
        <f>E14/$E$17*100</f>
        <v>3.5610465116279006</v>
      </c>
      <c r="G14">
        <f>100-SUM(F15:F17)</f>
        <v>99.127906976744185</v>
      </c>
      <c r="H14">
        <f>100-G14</f>
        <v>0.87209302325581461</v>
      </c>
    </row>
    <row r="15" spans="1:8" x14ac:dyDescent="0.25">
      <c r="A15" s="3" t="s">
        <v>19</v>
      </c>
      <c r="B15" s="4">
        <v>6.3E-2</v>
      </c>
      <c r="C15">
        <v>104.6</v>
      </c>
      <c r="D15">
        <v>105.7</v>
      </c>
      <c r="E15">
        <f>D15-C15</f>
        <v>1.1000000000000085</v>
      </c>
      <c r="F15">
        <f>E15/$E$17*100</f>
        <v>0.7994186046511691</v>
      </c>
      <c r="G15">
        <f>100-SUM(F16:F17)</f>
        <v>99.927325581395351</v>
      </c>
      <c r="H15">
        <f>100-G15</f>
        <v>7.2674418604648849E-2</v>
      </c>
    </row>
    <row r="16" spans="1:8" x14ac:dyDescent="0.25">
      <c r="A16" s="3" t="s">
        <v>20</v>
      </c>
      <c r="B16" s="4"/>
      <c r="C16">
        <v>75</v>
      </c>
      <c r="D16">
        <v>75.099999999999994</v>
      </c>
      <c r="E16">
        <f>D16-C16</f>
        <v>9.9999999999994316E-2</v>
      </c>
      <c r="F16">
        <f>E16/$E$17*100</f>
        <v>7.2674418604647031E-2</v>
      </c>
      <c r="G16">
        <f>100-SUM(F17:F17)</f>
        <v>100</v>
      </c>
      <c r="H16">
        <f>100-G16</f>
        <v>0</v>
      </c>
    </row>
    <row r="17" spans="5:5" x14ac:dyDescent="0.25">
      <c r="E17" s="5">
        <f>SUM(E7:E16)</f>
        <v>137.6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Farum</vt:lpstr>
      <vt:lpstr>Gunderup</vt:lpstr>
      <vt:lpstr>Vejen</vt:lpstr>
      <vt:lpstr>Borris</vt:lpstr>
      <vt:lpstr>Grindsted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Morsing</dc:creator>
  <cp:lastModifiedBy>Laura Morsing</cp:lastModifiedBy>
  <dcterms:created xsi:type="dcterms:W3CDTF">2025-12-03T05:49:48Z</dcterms:created>
  <dcterms:modified xsi:type="dcterms:W3CDTF">2025-12-03T05:51:10Z</dcterms:modified>
</cp:coreProperties>
</file>